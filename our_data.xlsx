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VAS" sheetId="1" state="visible" r:id="rId3"/>
    <sheet name="Presence" sheetId="2" state="visible" r:id="rId4"/>
    <sheet name="Pain+Presence" sheetId="3" state="visible" r:id="rId5"/>
    <sheet name="Calibrate" sheetId="4" state="visible" r:id="rId6"/>
    <sheet name="Pain+Vibration" sheetId="5" state="visible" r:id="rId7"/>
    <sheet name="Performance+Pres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<sst xmlns="http://schemas.openxmlformats.org/spreadsheetml/2006/main" count="415" uniqueCount="57">
  <si>
    <t xml:space="preserve">Participant ID.</t>
  </si>
  <si>
    <t xml:space="preserve">Condition</t>
  </si>
  <si>
    <t xml:space="preserve">Order</t>
  </si>
  <si>
    <t xml:space="preserve">Sequence</t>
  </si>
  <si>
    <t xml:space="preserve">VAS-Baseline</t>
  </si>
  <si>
    <t xml:space="preserve">VAS</t>
  </si>
  <si>
    <t xml:space="preserve">VAS-Change</t>
  </si>
  <si>
    <t xml:space="preserve">Percent change</t>
  </si>
  <si>
    <t xml:space="preserve">Mean</t>
  </si>
  <si>
    <t xml:space="preserve">SD</t>
  </si>
  <si>
    <t xml:space="preserve">Z-VAS</t>
  </si>
  <si>
    <t xml:space="preserve">No-vibrations</t>
  </si>
  <si>
    <t xml:space="preserve">Hand-vibration</t>
  </si>
  <si>
    <t xml:space="preserve">Arm-vibrations</t>
  </si>
  <si>
    <t xml:space="preserve">Arm+hand-vibrations</t>
  </si>
  <si>
    <t xml:space="preserve">Data not used due to logging errors</t>
  </si>
  <si>
    <t xml:space="preserve">-</t>
  </si>
  <si>
    <t xml:space="preserve">s_1</t>
  </si>
  <si>
    <t xml:space="preserve">s_2</t>
  </si>
  <si>
    <t xml:space="preserve">s_3</t>
  </si>
  <si>
    <t xml:space="preserve">s_4</t>
  </si>
  <si>
    <t xml:space="preserve">s_5</t>
  </si>
  <si>
    <t xml:space="preserve">s_6</t>
  </si>
  <si>
    <t xml:space="preserve">s_7</t>
  </si>
  <si>
    <t xml:space="preserve">s_8</t>
  </si>
  <si>
    <t xml:space="preserve">s_9</t>
  </si>
  <si>
    <t xml:space="preserve">s_10</t>
  </si>
  <si>
    <t xml:space="preserve">s_11</t>
  </si>
  <si>
    <t xml:space="preserve">s_12</t>
  </si>
  <si>
    <t xml:space="preserve">s_13</t>
  </si>
  <si>
    <t xml:space="preserve">s_14</t>
  </si>
  <si>
    <t xml:space="preserve">s_14_rev</t>
  </si>
  <si>
    <t xml:space="preserve">s_15</t>
  </si>
  <si>
    <t xml:space="preserve">s_16</t>
  </si>
  <si>
    <t xml:space="preserve">s_17</t>
  </si>
  <si>
    <t xml:space="preserve">s_17_rev</t>
  </si>
  <si>
    <t xml:space="preserve">s_18</t>
  </si>
  <si>
    <t xml:space="preserve">s_18_rev</t>
  </si>
  <si>
    <t xml:space="preserve">s_19</t>
  </si>
  <si>
    <t xml:space="preserve">Presence Score</t>
  </si>
  <si>
    <t xml:space="preserve">Participant ID</t>
  </si>
  <si>
    <t xml:space="preserve">0.8</t>
  </si>
  <si>
    <t xml:space="preserve">down to 1,5 (2,5)</t>
  </si>
  <si>
    <t xml:space="preserve">Participant</t>
  </si>
  <si>
    <t xml:space="preserve">Stim Time</t>
  </si>
  <si>
    <t xml:space="preserve">Left vibration</t>
  </si>
  <si>
    <t xml:space="preserve">Right vibration</t>
  </si>
  <si>
    <t xml:space="preserve">Hand vibration</t>
  </si>
  <si>
    <t xml:space="preserve">NoVibration</t>
  </si>
  <si>
    <t xml:space="preserve">HandVibration</t>
  </si>
  <si>
    <t xml:space="preserve">ArmVibration</t>
  </si>
  <si>
    <t xml:space="preserve">AllVibration</t>
  </si>
  <si>
    <t xml:space="preserve">Total Ghosts</t>
  </si>
  <si>
    <t xml:space="preserve">Ghosts Captured</t>
  </si>
  <si>
    <t xml:space="preserve">Total Haunted Toys</t>
  </si>
  <si>
    <t xml:space="preserve">Toys Held</t>
  </si>
  <si>
    <t xml:space="preserve">Trigger Presses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</si>
</sst>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* #,##0.00_-;\-* #,##0.00_-;_-* \-??_-;_-@_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E7E6E6"/>
      </patternFill>
    </fill>
    <fill>
      <patternFill patternType="solid">
        <fgColor theme="2"/>
        <bgColor rgb="FFDDDDDD"/>
      </patternFill>
    </fill>
    <fill>
      <patternFill patternType="solid">
        <fgColor rgb="FFFF0000"/>
        <bgColor rgb="FF993300"/>
      </patternFill>
    </fill>
    <fill>
      <patternFill patternType="solid">
        <fgColor rgb="FFE38D8D"/>
        <bgColor rgb="FFDF7B7B"/>
      </patternFill>
    </fill>
    <fill>
      <patternFill patternType="solid">
        <fgColor rgb="FFDF7B7B"/>
        <bgColor rgb="FFE38D8D"/>
      </patternFill>
    </fill>
    <fill>
      <patternFill patternType="solid">
        <fgColor theme="2" tint="-0.25"/>
        <bgColor rgb="FF999999"/>
      </patternFill>
    </fill>
    <fill>
      <patternFill patternType="solid">
        <fgColor rgb="FFFFD7D7"/>
        <bgColor rgb="FFE7E6E6"/>
      </patternFill>
    </fill>
    <fill>
      <patternFill patternType="solid">
        <fgColor rgb="FFDDDDDD"/>
        <bgColor rgb="FFE7E6E6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 diagonalUp="false" diagonalDown="false">
      <left/>
      <right style="thin">
        <color rgb="FF757171"/>
      </right>
      <top style="thin">
        <color rgb="FF757171"/>
      </top>
      <bottom style="thin">
        <color rgb="FF757171"/>
      </bottom>
      <diagonal/>
    </border>
    <border diagonalUp="false" diagonalDown="false">
      <left style="thin">
        <color theme="1"/>
      </left>
      <right/>
      <top style="thin">
        <color theme="1"/>
      </top>
      <bottom style="thin">
        <color theme="1"/>
      </bottom>
      <diagonal/>
    </border>
    <border diagonalUp="false" diagonalDown="false">
      <left/>
      <right style="thin">
        <color theme="1"/>
      </right>
      <top style="thin">
        <color theme="1"/>
      </top>
      <bottom style="thin">
        <color theme="1"/>
      </bottom>
      <diagonal/>
    </border>
    <border diagonalUp="false" diagonalDown="false">
      <left style="thin">
        <color theme="2" tint="-0.1"/>
      </left>
      <right style="thin">
        <color theme="2" tint="-0.1"/>
      </right>
      <top/>
      <bottom style="thin">
        <color theme="2" tint="-0.1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757171"/>
      <rgbColor rgb="FFAFABAB"/>
      <rgbColor rgb="FF993366"/>
      <rgbColor rgb="FFE7E6E6"/>
      <rgbColor rgb="FFCCFFFF"/>
      <rgbColor rgb="FF660066"/>
      <rgbColor rgb="FFDF7B7B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38D8D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2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G34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K42" activeCellId="0" sqref="K42"/>
    </sheetView>
  </sheetViews>
  <sheetFormatPr defaultColWidth="8.82421875" defaultRowHeight="14.25" customHeight="true" zeroHeight="false" outlineLevelRow="0" outlineLevelCol="0"/>
  <cols>
    <col collapsed="false" customWidth="true" hidden="false" outlineLevel="0" max="1" min="1" style="1" width="12.54"/>
    <col collapsed="false" customWidth="true" hidden="false" outlineLevel="0" max="3" min="2" style="1" width="18.82"/>
    <col collapsed="false" customWidth="false" hidden="false" outlineLevel="0" max="4" min="4" style="1" width="8.82"/>
    <col collapsed="false" customWidth="true" hidden="false" outlineLevel="0" max="5" min="5" style="1" width="11.54"/>
    <col collapsed="false" customWidth="false" hidden="false" outlineLevel="0" max="6" min="6" style="1" width="8.82"/>
    <col collapsed="false" customWidth="true" hidden="false" outlineLevel="0" max="7" min="7" style="1" width="10.82"/>
    <col collapsed="false" customWidth="true" hidden="false" outlineLevel="0" max="8" min="8" style="1" width="13.54"/>
    <col collapsed="false" customWidth="false" hidden="false" outlineLevel="0" max="16384" min="9" style="1" width="8.82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</row>
    <row r="2" s="5" customFormat="true" ht="14.25" hidden="false" customHeight="false" outlineLevel="0" collapsed="false">
      <c r="A2" s="3" t="n">
        <v>1</v>
      </c>
      <c r="B2" s="3" t="s">
        <v>11</v>
      </c>
      <c r="C2" s="3" t="n">
        <v>2</v>
      </c>
      <c r="D2" s="3" t="n">
        <v>2</v>
      </c>
      <c r="E2" s="3" t="n">
        <v>3</v>
      </c>
      <c r="F2" s="3" t="n">
        <v>2.5</v>
      </c>
      <c r="G2" s="3" t="n">
        <f aca="false">F2-E2</f>
        <v>-0.5</v>
      </c>
      <c r="H2" s="4" t="n">
        <f aca="false">(G2/E2)*100</f>
        <v>-16.6666666666667</v>
      </c>
      <c r="I2" s="3" t="n">
        <f aca="false">AVERAGE(F2:F5)</f>
        <v>2.3</v>
      </c>
      <c r="J2" s="3" t="n">
        <f aca="false">_xlfn.STDEV.S(F2:F5)</f>
        <v>0.571547606649408</v>
      </c>
      <c r="K2" s="3" t="n">
        <f aca="false">(F2-I2)/J2</f>
        <v>0.349927106111883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</row>
    <row r="3" s="5" customFormat="true" ht="14.25" hidden="false" customHeight="false" outlineLevel="0" collapsed="false">
      <c r="A3" s="3" t="n">
        <v>1</v>
      </c>
      <c r="B3" s="3" t="s">
        <v>12</v>
      </c>
      <c r="C3" s="3" t="n">
        <v>2</v>
      </c>
      <c r="D3" s="3" t="n">
        <v>1</v>
      </c>
      <c r="E3" s="3" t="n">
        <v>3</v>
      </c>
      <c r="F3" s="3" t="n">
        <v>2</v>
      </c>
      <c r="G3" s="3" t="n">
        <f aca="false">F3-E3</f>
        <v>-1</v>
      </c>
      <c r="H3" s="4" t="n">
        <f aca="false">(G3/E3)*100</f>
        <v>-33.3333333333333</v>
      </c>
      <c r="I3" s="3"/>
      <c r="J3" s="3"/>
      <c r="K3" s="3" t="n">
        <f aca="false">(F3-I2)/J2</f>
        <v>-0.524890659167824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="5" customFormat="true" ht="14.25" hidden="false" customHeight="false" outlineLevel="0" collapsed="false">
      <c r="A4" s="3" t="n">
        <v>1</v>
      </c>
      <c r="B4" s="3" t="s">
        <v>13</v>
      </c>
      <c r="C4" s="3" t="n">
        <v>2</v>
      </c>
      <c r="D4" s="3" t="n">
        <v>4</v>
      </c>
      <c r="E4" s="3" t="n">
        <v>3</v>
      </c>
      <c r="F4" s="3" t="n">
        <v>3</v>
      </c>
      <c r="G4" s="3" t="n">
        <f aca="false">F4-E4</f>
        <v>0</v>
      </c>
      <c r="H4" s="4" t="n">
        <f aca="false">(G4/E4)*100</f>
        <v>0</v>
      </c>
      <c r="I4" s="3"/>
      <c r="J4" s="3"/>
      <c r="K4" s="3" t="n">
        <f aca="false">(F4-I2)/J2</f>
        <v>1.22474487139159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="5" customFormat="true" ht="14.25" hidden="false" customHeight="false" outlineLevel="0" collapsed="false">
      <c r="A5" s="3" t="n">
        <v>1</v>
      </c>
      <c r="B5" s="3" t="s">
        <v>14</v>
      </c>
      <c r="C5" s="3" t="n">
        <v>2</v>
      </c>
      <c r="D5" s="3" t="n">
        <v>3</v>
      </c>
      <c r="E5" s="3" t="n">
        <v>3</v>
      </c>
      <c r="F5" s="3" t="n">
        <v>1.7</v>
      </c>
      <c r="G5" s="3" t="n">
        <f aca="false">F5-E5</f>
        <v>-1.3</v>
      </c>
      <c r="H5" s="4" t="n">
        <f aca="false">(G5/E5)*100</f>
        <v>-43.3333333333333</v>
      </c>
      <c r="I5" s="3"/>
      <c r="J5" s="3"/>
      <c r="K5" s="3" t="n">
        <f aca="false">(F5-I2)/J2</f>
        <v>-1.04978131833565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</row>
    <row r="6" customFormat="false" ht="14.25" hidden="false" customHeight="false" outlineLevel="0" collapsed="false">
      <c r="A6" s="2" t="n">
        <v>2</v>
      </c>
      <c r="B6" s="2" t="s">
        <v>11</v>
      </c>
      <c r="C6" s="2" t="n">
        <v>1</v>
      </c>
      <c r="D6" s="2" t="n">
        <v>1</v>
      </c>
      <c r="E6" s="2" t="n">
        <v>4</v>
      </c>
      <c r="F6" s="2" t="n">
        <v>2</v>
      </c>
      <c r="G6" s="2" t="n">
        <f aca="false">F6-E6</f>
        <v>-2</v>
      </c>
      <c r="H6" s="6" t="n">
        <f aca="false">(G6/E6)*100</f>
        <v>-50</v>
      </c>
      <c r="I6" s="2" t="n">
        <f aca="false">AVERAGE(F6:F9)</f>
        <v>2.25</v>
      </c>
      <c r="J6" s="2" t="n">
        <f aca="false">_xlfn.STDEV.S(F6:F9)</f>
        <v>0.5</v>
      </c>
      <c r="K6" s="2" t="n">
        <f aca="false">(F6-I6)/J6</f>
        <v>-0.5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</row>
    <row r="7" customFormat="false" ht="14.25" hidden="false" customHeight="false" outlineLevel="0" collapsed="false">
      <c r="A7" s="2" t="n">
        <v>2</v>
      </c>
      <c r="B7" s="2" t="s">
        <v>12</v>
      </c>
      <c r="C7" s="2" t="n">
        <v>1</v>
      </c>
      <c r="D7" s="2" t="n">
        <v>2</v>
      </c>
      <c r="E7" s="2" t="n">
        <v>4</v>
      </c>
      <c r="F7" s="2" t="n">
        <v>3</v>
      </c>
      <c r="G7" s="2" t="n">
        <f aca="false">F7-E7</f>
        <v>-1</v>
      </c>
      <c r="H7" s="6" t="n">
        <f aca="false">(G7/E7)*100</f>
        <v>-25</v>
      </c>
      <c r="I7" s="2"/>
      <c r="J7" s="2"/>
      <c r="K7" s="2" t="n">
        <f aca="false">(F7-I6)/J6</f>
        <v>1.5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</row>
    <row r="8" customFormat="false" ht="14.25" hidden="false" customHeight="false" outlineLevel="0" collapsed="false">
      <c r="A8" s="2" t="n">
        <v>2</v>
      </c>
      <c r="B8" s="2" t="s">
        <v>13</v>
      </c>
      <c r="C8" s="2" t="n">
        <v>1</v>
      </c>
      <c r="D8" s="2" t="n">
        <v>3</v>
      </c>
      <c r="E8" s="2" t="n">
        <v>4</v>
      </c>
      <c r="F8" s="2" t="n">
        <v>2</v>
      </c>
      <c r="G8" s="2" t="n">
        <f aca="false">F8-E8</f>
        <v>-2</v>
      </c>
      <c r="H8" s="6" t="n">
        <f aca="false">(G8/E8)*100</f>
        <v>-50</v>
      </c>
      <c r="I8" s="2"/>
      <c r="J8" s="2"/>
      <c r="K8" s="2" t="n">
        <f aca="false">(F8-I6)/J6</f>
        <v>-0.5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</row>
    <row r="9" customFormat="false" ht="14.25" hidden="false" customHeight="false" outlineLevel="0" collapsed="false">
      <c r="A9" s="2" t="n">
        <v>2</v>
      </c>
      <c r="B9" s="2" t="s">
        <v>14</v>
      </c>
      <c r="C9" s="2" t="n">
        <v>1</v>
      </c>
      <c r="D9" s="2" t="n">
        <v>4</v>
      </c>
      <c r="E9" s="2" t="n">
        <v>4</v>
      </c>
      <c r="F9" s="2" t="n">
        <v>2</v>
      </c>
      <c r="G9" s="2" t="n">
        <f aca="false">F9-E9</f>
        <v>-2</v>
      </c>
      <c r="H9" s="6" t="n">
        <f aca="false">(G9/E9)*100</f>
        <v>-50</v>
      </c>
      <c r="I9" s="2"/>
      <c r="J9" s="2"/>
      <c r="K9" s="2" t="n">
        <f aca="false">(F9-I6)/J6</f>
        <v>-0.5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</row>
    <row r="10" s="5" customFormat="true" ht="14.25" hidden="false" customHeight="false" outlineLevel="0" collapsed="false">
      <c r="A10" s="3" t="n">
        <v>3</v>
      </c>
      <c r="B10" s="3" t="s">
        <v>11</v>
      </c>
      <c r="C10" s="3" t="n">
        <v>2</v>
      </c>
      <c r="D10" s="3" t="n">
        <v>1</v>
      </c>
      <c r="E10" s="3" t="n">
        <v>0.8</v>
      </c>
      <c r="F10" s="3" t="n">
        <v>5</v>
      </c>
      <c r="G10" s="3" t="n">
        <f aca="false">F10-E10</f>
        <v>4.2</v>
      </c>
      <c r="H10" s="4" t="n">
        <f aca="false">(G10/E10)*100</f>
        <v>525</v>
      </c>
      <c r="I10" s="3" t="n">
        <f aca="false">AVERAGE(F10:F13)</f>
        <v>2.5</v>
      </c>
      <c r="J10" s="3" t="n">
        <f aca="false">_xlfn.STDEV.S(F10:F13)</f>
        <v>1.73205080756888</v>
      </c>
      <c r="K10" s="3" t="n">
        <f aca="false">(F10-I10)/J10</f>
        <v>1.44337567297406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="5" customFormat="true" ht="14.25" hidden="false" customHeight="false" outlineLevel="0" collapsed="false">
      <c r="A11" s="3" t="n">
        <v>3</v>
      </c>
      <c r="B11" s="3" t="s">
        <v>12</v>
      </c>
      <c r="C11" s="3" t="n">
        <v>2</v>
      </c>
      <c r="D11" s="3" t="n">
        <v>2</v>
      </c>
      <c r="E11" s="3" t="n">
        <v>0.8</v>
      </c>
      <c r="F11" s="3" t="n">
        <v>2</v>
      </c>
      <c r="G11" s="3" t="n">
        <f aca="false">F11-E11</f>
        <v>1.2</v>
      </c>
      <c r="H11" s="4" t="n">
        <f aca="false">(G11/E11)*100</f>
        <v>150</v>
      </c>
      <c r="I11" s="3"/>
      <c r="J11" s="3"/>
      <c r="K11" s="3" t="n">
        <f aca="false">(F11-I10)/J10</f>
        <v>-0.288675134594813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="5" customFormat="true" ht="14.25" hidden="false" customHeight="false" outlineLevel="0" collapsed="false">
      <c r="A12" s="3" t="n">
        <v>3</v>
      </c>
      <c r="B12" s="3" t="s">
        <v>13</v>
      </c>
      <c r="C12" s="3" t="n">
        <v>2</v>
      </c>
      <c r="D12" s="3" t="n">
        <v>4</v>
      </c>
      <c r="E12" s="3" t="n">
        <v>0.8</v>
      </c>
      <c r="F12" s="3" t="n">
        <v>1</v>
      </c>
      <c r="G12" s="3" t="n">
        <f aca="false">F12-E12</f>
        <v>0.2</v>
      </c>
      <c r="H12" s="4" t="n">
        <f aca="false">(G12/E12)*100</f>
        <v>25</v>
      </c>
      <c r="I12" s="3"/>
      <c r="J12" s="3"/>
      <c r="K12" s="3" t="n">
        <f aca="false">(F12-I10)/J10</f>
        <v>-0.866025403784439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="5" customFormat="true" ht="14.25" hidden="false" customHeight="false" outlineLevel="0" collapsed="false">
      <c r="A13" s="3" t="n">
        <v>3</v>
      </c>
      <c r="B13" s="3" t="s">
        <v>14</v>
      </c>
      <c r="C13" s="3" t="n">
        <v>2</v>
      </c>
      <c r="D13" s="3" t="n">
        <v>3</v>
      </c>
      <c r="E13" s="3" t="n">
        <v>0.8</v>
      </c>
      <c r="F13" s="3" t="n">
        <v>2</v>
      </c>
      <c r="G13" s="3" t="n">
        <f aca="false">F13-E13</f>
        <v>1.2</v>
      </c>
      <c r="H13" s="4" t="n">
        <f aca="false">(G13/E13)*100</f>
        <v>150</v>
      </c>
      <c r="I13" s="3"/>
      <c r="J13" s="3"/>
      <c r="K13" s="3" t="n">
        <f aca="false">(F13-I10)/J10</f>
        <v>-0.288675134594813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customFormat="false" ht="14.25" hidden="false" customHeight="false" outlineLevel="0" collapsed="false">
      <c r="A14" s="2" t="n">
        <v>4</v>
      </c>
      <c r="B14" s="2" t="s">
        <v>11</v>
      </c>
      <c r="C14" s="2" t="n">
        <v>1</v>
      </c>
      <c r="D14" s="2" t="n">
        <v>1</v>
      </c>
      <c r="E14" s="2" t="n">
        <v>5</v>
      </c>
      <c r="F14" s="2" t="n">
        <v>5</v>
      </c>
      <c r="G14" s="2" t="n">
        <f aca="false">F14-E14</f>
        <v>0</v>
      </c>
      <c r="H14" s="6" t="n">
        <f aca="false">(G14/E14)*100</f>
        <v>0</v>
      </c>
      <c r="I14" s="2" t="n">
        <f aca="false">AVERAGE(F14:F17)</f>
        <v>4.75</v>
      </c>
      <c r="J14" s="2" t="n">
        <f aca="false">_xlfn.STDEV.S(F14:F17)</f>
        <v>0.5</v>
      </c>
      <c r="K14" s="2" t="n">
        <f aca="false">(F14-I14)/J14</f>
        <v>0.5</v>
      </c>
      <c r="L14" s="7"/>
      <c r="M14" s="2" t="s">
        <v>15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</row>
    <row r="15" customFormat="false" ht="14.25" hidden="false" customHeight="false" outlineLevel="0" collapsed="false">
      <c r="A15" s="2" t="n">
        <v>4</v>
      </c>
      <c r="B15" s="2" t="s">
        <v>12</v>
      </c>
      <c r="C15" s="2" t="n">
        <v>1</v>
      </c>
      <c r="D15" s="2" t="n">
        <v>2</v>
      </c>
      <c r="E15" s="2" t="n">
        <v>5</v>
      </c>
      <c r="F15" s="2" t="n">
        <v>5</v>
      </c>
      <c r="G15" s="2" t="n">
        <f aca="false">F15-E15</f>
        <v>0</v>
      </c>
      <c r="H15" s="6" t="n">
        <f aca="false">(G15/E15)*100</f>
        <v>0</v>
      </c>
      <c r="I15" s="2"/>
      <c r="J15" s="2"/>
      <c r="K15" s="2" t="n">
        <f aca="false">(F15-I14)/J14</f>
        <v>0.5</v>
      </c>
      <c r="L15" s="7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</row>
    <row r="16" customFormat="false" ht="14.25" hidden="false" customHeight="false" outlineLevel="0" collapsed="false">
      <c r="A16" s="2" t="n">
        <v>4</v>
      </c>
      <c r="B16" s="2" t="s">
        <v>13</v>
      </c>
      <c r="C16" s="2" t="n">
        <v>1</v>
      </c>
      <c r="D16" s="2" t="n">
        <v>3</v>
      </c>
      <c r="E16" s="2" t="n">
        <v>5</v>
      </c>
      <c r="F16" s="2" t="n">
        <v>4</v>
      </c>
      <c r="G16" s="2" t="n">
        <f aca="false">F16-E16</f>
        <v>-1</v>
      </c>
      <c r="H16" s="6" t="n">
        <f aca="false">(G16/E16)*100</f>
        <v>-20</v>
      </c>
      <c r="I16" s="2"/>
      <c r="J16" s="2"/>
      <c r="K16" s="2" t="n">
        <f aca="false">(F16-I14)/J14</f>
        <v>-1.5</v>
      </c>
      <c r="L16" s="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</row>
    <row r="17" customFormat="false" ht="15" hidden="false" customHeight="true" outlineLevel="0" collapsed="false">
      <c r="A17" s="2" t="n">
        <v>4</v>
      </c>
      <c r="B17" s="2" t="s">
        <v>14</v>
      </c>
      <c r="C17" s="2" t="n">
        <v>1</v>
      </c>
      <c r="D17" s="2" t="n">
        <v>4</v>
      </c>
      <c r="E17" s="2" t="n">
        <v>5</v>
      </c>
      <c r="F17" s="2" t="n">
        <v>5</v>
      </c>
      <c r="G17" s="2" t="n">
        <f aca="false">F17-E17</f>
        <v>0</v>
      </c>
      <c r="H17" s="6" t="n">
        <f aca="false">(G17/E17)*100</f>
        <v>0</v>
      </c>
      <c r="I17" s="2"/>
      <c r="J17" s="2"/>
      <c r="K17" s="2" t="n">
        <f aca="false">(F17-I14)/J14</f>
        <v>0.5</v>
      </c>
      <c r="L17" s="7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</row>
    <row r="18" s="5" customFormat="true" ht="14.25" hidden="false" customHeight="true" outlineLevel="0" collapsed="false">
      <c r="A18" s="3" t="n">
        <v>5</v>
      </c>
      <c r="B18" s="3" t="s">
        <v>11</v>
      </c>
      <c r="C18" s="3" t="n">
        <v>3</v>
      </c>
      <c r="D18" s="3" t="n">
        <v>3</v>
      </c>
      <c r="E18" s="3" t="n">
        <v>4</v>
      </c>
      <c r="F18" s="3" t="s">
        <v>16</v>
      </c>
      <c r="G18" s="3" t="e">
        <f aca="false">F18-E18</f>
        <v>#VALUE!</v>
      </c>
      <c r="H18" s="4" t="e">
        <f aca="false">(G18/E18)*100</f>
        <v>#VALUE!</v>
      </c>
      <c r="I18" s="3" t="n">
        <f aca="false">AVERAGE(F18:F21)</f>
        <v>4.5</v>
      </c>
      <c r="J18" s="3" t="n">
        <f aca="false">_xlfn.STDEV.S(F18:F21)</f>
        <v>0.707106781186548</v>
      </c>
      <c r="K18" s="3" t="e">
        <f aca="false">(F18-I18)/J18</f>
        <v>#VALUE!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</row>
    <row r="19" s="5" customFormat="true" ht="14.25" hidden="false" customHeight="false" outlineLevel="0" collapsed="false">
      <c r="A19" s="3" t="n">
        <v>5</v>
      </c>
      <c r="B19" s="3" t="s">
        <v>12</v>
      </c>
      <c r="C19" s="3" t="n">
        <v>3</v>
      </c>
      <c r="D19" s="3" t="n">
        <v>4</v>
      </c>
      <c r="E19" s="3" t="n">
        <v>4</v>
      </c>
      <c r="F19" s="3" t="s">
        <v>16</v>
      </c>
      <c r="G19" s="3" t="e">
        <f aca="false">F19-E19</f>
        <v>#VALUE!</v>
      </c>
      <c r="H19" s="4" t="e">
        <f aca="false">(G19/E19)*100</f>
        <v>#VALUE!</v>
      </c>
      <c r="I19" s="3"/>
      <c r="J19" s="3"/>
      <c r="K19" s="3" t="e">
        <f aca="false">(F19-I18)/J18</f>
        <v>#VALUE!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="5" customFormat="true" ht="14.25" hidden="false" customHeight="false" outlineLevel="0" collapsed="false">
      <c r="A20" s="3" t="n">
        <v>5</v>
      </c>
      <c r="B20" s="3" t="s">
        <v>13</v>
      </c>
      <c r="C20" s="3" t="n">
        <v>3</v>
      </c>
      <c r="D20" s="3" t="n">
        <v>1</v>
      </c>
      <c r="E20" s="3" t="n">
        <v>4</v>
      </c>
      <c r="F20" s="3" t="n">
        <v>4</v>
      </c>
      <c r="G20" s="3" t="n">
        <f aca="false">F20-E20</f>
        <v>0</v>
      </c>
      <c r="H20" s="4" t="n">
        <f aca="false">(G20/E20)*100</f>
        <v>0</v>
      </c>
      <c r="I20" s="3"/>
      <c r="J20" s="3"/>
      <c r="K20" s="3" t="n">
        <f aca="false">(F20-I18)/J18</f>
        <v>-0.707106781186548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="5" customFormat="true" ht="14.25" hidden="false" customHeight="false" outlineLevel="0" collapsed="false">
      <c r="A21" s="3" t="n">
        <v>5</v>
      </c>
      <c r="B21" s="3" t="s">
        <v>14</v>
      </c>
      <c r="C21" s="3" t="n">
        <v>3</v>
      </c>
      <c r="D21" s="3" t="n">
        <v>2</v>
      </c>
      <c r="E21" s="3" t="n">
        <v>4</v>
      </c>
      <c r="F21" s="3" t="n">
        <v>5</v>
      </c>
      <c r="G21" s="3" t="n">
        <f aca="false">F21-E21</f>
        <v>1</v>
      </c>
      <c r="H21" s="4" t="n">
        <f aca="false">(G21/E21)*100</f>
        <v>25</v>
      </c>
      <c r="I21" s="3"/>
      <c r="J21" s="3"/>
      <c r="K21" s="3" t="n">
        <f aca="false">(F21-I18)/J18</f>
        <v>0.707106781186548</v>
      </c>
      <c r="L21" s="3"/>
      <c r="M21" s="3" t="s">
        <v>15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customFormat="false" ht="14.25" hidden="false" customHeight="false" outlineLevel="0" collapsed="false">
      <c r="A22" s="2" t="n">
        <v>6</v>
      </c>
      <c r="B22" s="2" t="s">
        <v>11</v>
      </c>
      <c r="C22" s="2" t="n">
        <v>4</v>
      </c>
      <c r="D22" s="2" t="n">
        <v>4</v>
      </c>
      <c r="E22" s="2" t="n">
        <v>2.5</v>
      </c>
      <c r="F22" s="2" t="n">
        <v>4</v>
      </c>
      <c r="G22" s="2" t="n">
        <f aca="false">F22-E22</f>
        <v>1.5</v>
      </c>
      <c r="H22" s="6" t="n">
        <f aca="false">(G22/E22)*100</f>
        <v>60</v>
      </c>
      <c r="I22" s="2" t="n">
        <f aca="false">AVERAGE(F22:F25)</f>
        <v>2.25</v>
      </c>
      <c r="J22" s="2" t="n">
        <f aca="false">_xlfn.STDEV.S(F22:F25)</f>
        <v>1.3228756555323</v>
      </c>
      <c r="K22" s="2" t="n">
        <f aca="false">(F22-I22)/J22</f>
        <v>1.3228756555323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customFormat="false" ht="14.25" hidden="false" customHeight="false" outlineLevel="0" collapsed="false">
      <c r="A23" s="2" t="n">
        <v>6</v>
      </c>
      <c r="B23" s="2" t="s">
        <v>12</v>
      </c>
      <c r="C23" s="2" t="n">
        <v>4</v>
      </c>
      <c r="D23" s="2" t="n">
        <v>3</v>
      </c>
      <c r="E23" s="2" t="n">
        <v>2.5</v>
      </c>
      <c r="F23" s="2" t="n">
        <v>1</v>
      </c>
      <c r="G23" s="2" t="n">
        <f aca="false">F23-E23</f>
        <v>-1.5</v>
      </c>
      <c r="H23" s="6" t="n">
        <f aca="false">(G23/E23)*100</f>
        <v>-60</v>
      </c>
      <c r="I23" s="2"/>
      <c r="J23" s="2"/>
      <c r="K23" s="2" t="n">
        <f aca="false">(F23-I22)/J22</f>
        <v>-0.944911182523068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customFormat="false" ht="14.25" hidden="false" customHeight="false" outlineLevel="0" collapsed="false">
      <c r="A24" s="2" t="n">
        <v>6</v>
      </c>
      <c r="B24" s="2" t="s">
        <v>13</v>
      </c>
      <c r="C24" s="2" t="n">
        <v>4</v>
      </c>
      <c r="D24" s="2" t="n">
        <v>2</v>
      </c>
      <c r="E24" s="2" t="n">
        <v>2.5</v>
      </c>
      <c r="F24" s="2" t="n">
        <v>2.5</v>
      </c>
      <c r="G24" s="2" t="n">
        <f aca="false">F24-E24</f>
        <v>0</v>
      </c>
      <c r="H24" s="6" t="n">
        <f aca="false">(G24/E24)*100</f>
        <v>0</v>
      </c>
      <c r="I24" s="2"/>
      <c r="J24" s="2"/>
      <c r="K24" s="2" t="n">
        <f aca="false">(F24-I22)/J22</f>
        <v>0.188982236504614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customFormat="false" ht="14.25" hidden="false" customHeight="false" outlineLevel="0" collapsed="false">
      <c r="A25" s="2" t="n">
        <v>6</v>
      </c>
      <c r="B25" s="2" t="s">
        <v>14</v>
      </c>
      <c r="C25" s="2" t="n">
        <v>4</v>
      </c>
      <c r="D25" s="2" t="n">
        <v>1</v>
      </c>
      <c r="E25" s="2" t="n">
        <v>2.5</v>
      </c>
      <c r="F25" s="2" t="n">
        <v>1.5</v>
      </c>
      <c r="G25" s="2" t="n">
        <f aca="false">F25-E25</f>
        <v>-1</v>
      </c>
      <c r="H25" s="6" t="n">
        <f aca="false">(G25/E25)*100</f>
        <v>-40</v>
      </c>
      <c r="I25" s="2"/>
      <c r="J25" s="2"/>
      <c r="K25" s="2" t="n">
        <f aca="false">(F25-I22)/J22</f>
        <v>-0.566946709513841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="5" customFormat="true" ht="14.25" hidden="false" customHeight="false" outlineLevel="0" collapsed="false">
      <c r="A26" s="3" t="n">
        <v>7</v>
      </c>
      <c r="B26" s="3" t="s">
        <v>11</v>
      </c>
      <c r="C26" s="3" t="n">
        <v>1</v>
      </c>
      <c r="D26" s="3" t="n">
        <v>1</v>
      </c>
      <c r="E26" s="3" t="n">
        <v>5</v>
      </c>
      <c r="F26" s="3" t="n">
        <v>3</v>
      </c>
      <c r="G26" s="3" t="n">
        <f aca="false">F26-E26</f>
        <v>-2</v>
      </c>
      <c r="H26" s="4" t="n">
        <f aca="false">(G26/E26)*100</f>
        <v>-40</v>
      </c>
      <c r="I26" s="3" t="n">
        <f aca="false">AVERAGE(F26:F29)</f>
        <v>2.95</v>
      </c>
      <c r="J26" s="3" t="n">
        <f aca="false">_xlfn.STDEV.S(F26:F29)</f>
        <v>0.822597511950205</v>
      </c>
      <c r="K26" s="3" t="n">
        <f aca="false">(F26-I26)/J26</f>
        <v>0.0607830673854829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</row>
    <row r="27" s="5" customFormat="true" ht="14.25" hidden="false" customHeight="false" outlineLevel="0" collapsed="false">
      <c r="A27" s="3" t="n">
        <v>7</v>
      </c>
      <c r="B27" s="3" t="s">
        <v>12</v>
      </c>
      <c r="C27" s="3" t="n">
        <v>1</v>
      </c>
      <c r="D27" s="3" t="n">
        <v>2</v>
      </c>
      <c r="E27" s="3" t="n">
        <v>5</v>
      </c>
      <c r="F27" s="3" t="n">
        <v>4</v>
      </c>
      <c r="G27" s="3" t="n">
        <f aca="false">F27-E27</f>
        <v>-1</v>
      </c>
      <c r="H27" s="4" t="n">
        <f aca="false">(G27/E27)*100</f>
        <v>-20</v>
      </c>
      <c r="I27" s="3"/>
      <c r="J27" s="3"/>
      <c r="K27" s="3" t="n">
        <f aca="false">(F27-I26)/J26</f>
        <v>1.27644441509514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</row>
    <row r="28" s="5" customFormat="true" ht="14.25" hidden="false" customHeight="false" outlineLevel="0" collapsed="false">
      <c r="A28" s="3" t="n">
        <v>7</v>
      </c>
      <c r="B28" s="3" t="s">
        <v>13</v>
      </c>
      <c r="C28" s="3" t="n">
        <v>1</v>
      </c>
      <c r="D28" s="3" t="n">
        <v>3</v>
      </c>
      <c r="E28" s="3" t="n">
        <v>5</v>
      </c>
      <c r="F28" s="3" t="n">
        <v>2.8</v>
      </c>
      <c r="G28" s="3" t="n">
        <f aca="false">F28-E28</f>
        <v>-2.2</v>
      </c>
      <c r="H28" s="4" t="n">
        <f aca="false">(G28/E28)*100</f>
        <v>-44</v>
      </c>
      <c r="I28" s="3"/>
      <c r="J28" s="3"/>
      <c r="K28" s="3" t="n">
        <f aca="false">(F28-I26)/J26</f>
        <v>-0.18234920215645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</row>
    <row r="29" s="5" customFormat="true" ht="14.25" hidden="false" customHeight="false" outlineLevel="0" collapsed="false">
      <c r="A29" s="3" t="n">
        <v>7</v>
      </c>
      <c r="B29" s="3" t="s">
        <v>14</v>
      </c>
      <c r="C29" s="3" t="n">
        <v>1</v>
      </c>
      <c r="D29" s="3" t="n">
        <v>4</v>
      </c>
      <c r="E29" s="3" t="n">
        <v>5</v>
      </c>
      <c r="F29" s="3" t="n">
        <v>2</v>
      </c>
      <c r="G29" s="3" t="n">
        <f aca="false">F29-E29</f>
        <v>-3</v>
      </c>
      <c r="H29" s="4" t="n">
        <f aca="false">(G29/E29)*100</f>
        <v>-60</v>
      </c>
      <c r="I29" s="3"/>
      <c r="J29" s="3"/>
      <c r="K29" s="3" t="n">
        <f aca="false">(F29-I26)/J26</f>
        <v>-1.15487828032418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</row>
    <row r="30" customFormat="false" ht="14.25" hidden="false" customHeight="false" outlineLevel="0" collapsed="false">
      <c r="A30" s="2" t="n">
        <v>8</v>
      </c>
      <c r="B30" s="2" t="s">
        <v>11</v>
      </c>
      <c r="C30" s="2" t="n">
        <v>4</v>
      </c>
      <c r="D30" s="2" t="n">
        <v>4</v>
      </c>
      <c r="E30" s="2" t="n">
        <v>6</v>
      </c>
      <c r="F30" s="2" t="n">
        <v>3</v>
      </c>
      <c r="G30" s="2" t="n">
        <f aca="false">F30-E30</f>
        <v>-3</v>
      </c>
      <c r="H30" s="6" t="n">
        <f aca="false">(G30/E30)*100</f>
        <v>-50</v>
      </c>
      <c r="I30" s="2" t="n">
        <f aca="false">AVERAGE(F30:F33)</f>
        <v>3.5</v>
      </c>
      <c r="J30" s="2" t="n">
        <f aca="false">_xlfn.STDEV.S(F30:F33)</f>
        <v>1.29099444873581</v>
      </c>
      <c r="K30" s="2" t="n">
        <f aca="false">(F30-I30)/J30</f>
        <v>-0.387298334620742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customFormat="false" ht="14.25" hidden="false" customHeight="false" outlineLevel="0" collapsed="false">
      <c r="A31" s="2" t="n">
        <v>8</v>
      </c>
      <c r="B31" s="2" t="s">
        <v>12</v>
      </c>
      <c r="C31" s="2" t="n">
        <v>4</v>
      </c>
      <c r="D31" s="2" t="n">
        <v>3</v>
      </c>
      <c r="E31" s="2" t="n">
        <v>6</v>
      </c>
      <c r="F31" s="2" t="n">
        <v>5</v>
      </c>
      <c r="G31" s="2" t="n">
        <f aca="false">F31-E31</f>
        <v>-1</v>
      </c>
      <c r="H31" s="6" t="n">
        <f aca="false">(G31/E31)*100</f>
        <v>-16.6666666666667</v>
      </c>
      <c r="I31" s="2"/>
      <c r="J31" s="2"/>
      <c r="K31" s="2" t="n">
        <f aca="false">(F31-I30)/J30</f>
        <v>1.16189500386223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customFormat="false" ht="14.25" hidden="false" customHeight="false" outlineLevel="0" collapsed="false">
      <c r="A32" s="2" t="n">
        <v>8</v>
      </c>
      <c r="B32" s="2" t="s">
        <v>13</v>
      </c>
      <c r="C32" s="2" t="n">
        <v>4</v>
      </c>
      <c r="D32" s="2" t="n">
        <v>2</v>
      </c>
      <c r="E32" s="2" t="n">
        <v>6</v>
      </c>
      <c r="F32" s="2" t="n">
        <v>4</v>
      </c>
      <c r="G32" s="2" t="n">
        <f aca="false">F32-E32</f>
        <v>-2</v>
      </c>
      <c r="H32" s="6" t="n">
        <f aca="false">(G32/E32)*100</f>
        <v>-33.3333333333333</v>
      </c>
      <c r="I32" s="2"/>
      <c r="J32" s="2"/>
      <c r="K32" s="2" t="n">
        <f aca="false">(F32-I30)/J30</f>
        <v>0.387298334620742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customFormat="false" ht="14.25" hidden="false" customHeight="false" outlineLevel="0" collapsed="false">
      <c r="A33" s="2" t="n">
        <v>8</v>
      </c>
      <c r="B33" s="2" t="s">
        <v>14</v>
      </c>
      <c r="C33" s="2" t="n">
        <v>4</v>
      </c>
      <c r="D33" s="2" t="n">
        <v>1</v>
      </c>
      <c r="E33" s="2" t="n">
        <v>6</v>
      </c>
      <c r="F33" s="2" t="n">
        <v>2</v>
      </c>
      <c r="G33" s="2" t="n">
        <f aca="false">F33-E33</f>
        <v>-4</v>
      </c>
      <c r="H33" s="6" t="n">
        <f aca="false">(G33/E33)*100</f>
        <v>-66.6666666666667</v>
      </c>
      <c r="I33" s="2"/>
      <c r="J33" s="2"/>
      <c r="K33" s="2" t="n">
        <f aca="false">(F33-I30)/J30</f>
        <v>-1.16189500386223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="5" customFormat="true" ht="14.25" hidden="false" customHeight="false" outlineLevel="0" collapsed="false">
      <c r="A34" s="3" t="n">
        <v>9</v>
      </c>
      <c r="B34" s="3" t="s">
        <v>11</v>
      </c>
      <c r="C34" s="3" t="n">
        <v>2</v>
      </c>
      <c r="D34" s="3" t="n">
        <v>2</v>
      </c>
      <c r="E34" s="3" t="n">
        <v>1.2</v>
      </c>
      <c r="F34" s="3" t="n">
        <v>2.5</v>
      </c>
      <c r="G34" s="3" t="n">
        <f aca="false">F34-E34</f>
        <v>1.3</v>
      </c>
      <c r="H34" s="4" t="n">
        <f aca="false">(G34/E34)*100</f>
        <v>108.333333333333</v>
      </c>
      <c r="I34" s="3" t="n">
        <f aca="false">AVERAGE(F34:F37)</f>
        <v>1.75</v>
      </c>
      <c r="J34" s="3" t="n">
        <f aca="false">_xlfn.STDEV.S(F34:F37)</f>
        <v>0.866025403784439</v>
      </c>
      <c r="K34" s="3" t="n">
        <f aca="false">(F34-I34)/J34</f>
        <v>0.866025403784439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</row>
    <row r="35" s="5" customFormat="true" ht="14.25" hidden="false" customHeight="false" outlineLevel="0" collapsed="false">
      <c r="A35" s="3" t="n">
        <v>9</v>
      </c>
      <c r="B35" s="3" t="s">
        <v>12</v>
      </c>
      <c r="C35" s="3" t="n">
        <v>2</v>
      </c>
      <c r="D35" s="3" t="n">
        <v>1</v>
      </c>
      <c r="E35" s="3" t="n">
        <v>1.2</v>
      </c>
      <c r="F35" s="3" t="n">
        <v>2.5</v>
      </c>
      <c r="G35" s="3" t="n">
        <f aca="false">F35-E35</f>
        <v>1.3</v>
      </c>
      <c r="H35" s="4" t="n">
        <f aca="false">(G35/E35)*100</f>
        <v>108.333333333333</v>
      </c>
      <c r="I35" s="3"/>
      <c r="J35" s="3"/>
      <c r="K35" s="3" t="n">
        <f aca="false">(F35-I34)/J34</f>
        <v>0.866025403784439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="5" customFormat="true" ht="14.25" hidden="false" customHeight="false" outlineLevel="0" collapsed="false">
      <c r="A36" s="3" t="n">
        <v>9</v>
      </c>
      <c r="B36" s="3" t="s">
        <v>13</v>
      </c>
      <c r="C36" s="3" t="n">
        <v>2</v>
      </c>
      <c r="D36" s="3" t="n">
        <v>4</v>
      </c>
      <c r="E36" s="3" t="n">
        <v>1.2</v>
      </c>
      <c r="F36" s="3" t="n">
        <v>1</v>
      </c>
      <c r="G36" s="3" t="n">
        <f aca="false">F36-E36</f>
        <v>-0.2</v>
      </c>
      <c r="H36" s="4" t="n">
        <f aca="false">(G36/E36)*100</f>
        <v>-16.6666666666667</v>
      </c>
      <c r="I36" s="3"/>
      <c r="J36" s="3"/>
      <c r="K36" s="3" t="n">
        <f aca="false">(F36-I34)/J34</f>
        <v>-0.866025403784439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="5" customFormat="true" ht="14.25" hidden="false" customHeight="false" outlineLevel="0" collapsed="false">
      <c r="A37" s="3" t="n">
        <v>9</v>
      </c>
      <c r="B37" s="3" t="s">
        <v>14</v>
      </c>
      <c r="C37" s="3" t="n">
        <v>2</v>
      </c>
      <c r="D37" s="3" t="n">
        <v>3</v>
      </c>
      <c r="E37" s="3" t="n">
        <v>1.2</v>
      </c>
      <c r="F37" s="3" t="n">
        <v>1</v>
      </c>
      <c r="G37" s="3" t="n">
        <f aca="false">F37-E37</f>
        <v>-0.2</v>
      </c>
      <c r="H37" s="4" t="n">
        <f aca="false">(G37/E37)*100</f>
        <v>-16.6666666666667</v>
      </c>
      <c r="I37" s="3"/>
      <c r="J37" s="3"/>
      <c r="K37" s="3" t="n">
        <f aca="false">(F37-I34)/J34</f>
        <v>-0.866025403784439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</row>
    <row r="38" customFormat="false" ht="14.25" hidden="false" customHeight="false" outlineLevel="0" collapsed="false">
      <c r="A38" s="2" t="n">
        <v>10</v>
      </c>
      <c r="B38" s="2" t="s">
        <v>11</v>
      </c>
      <c r="C38" s="2" t="n">
        <v>4</v>
      </c>
      <c r="D38" s="2" t="n">
        <v>4</v>
      </c>
      <c r="E38" s="2" t="n">
        <v>1.5</v>
      </c>
      <c r="F38" s="2" t="n">
        <v>1</v>
      </c>
      <c r="G38" s="2" t="n">
        <f aca="false">F38-E38</f>
        <v>-0.5</v>
      </c>
      <c r="H38" s="6" t="n">
        <f aca="false">(G38/E38)*100</f>
        <v>-33.3333333333333</v>
      </c>
      <c r="I38" s="2" t="n">
        <f aca="false">AVERAGE(F38:F41)</f>
        <v>0.9375</v>
      </c>
      <c r="J38" s="2" t="n">
        <f aca="false">_xlfn.STDEV.S(F38:F41)</f>
        <v>0.426956281914983</v>
      </c>
      <c r="K38" s="2" t="n">
        <f aca="false">(F38-I38)/J38</f>
        <v>0.14638501094228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customFormat="false" ht="14.25" hidden="false" customHeight="false" outlineLevel="0" collapsed="false">
      <c r="A39" s="2" t="n">
        <v>10</v>
      </c>
      <c r="B39" s="2" t="s">
        <v>12</v>
      </c>
      <c r="C39" s="2" t="n">
        <v>4</v>
      </c>
      <c r="D39" s="2" t="n">
        <v>3</v>
      </c>
      <c r="E39" s="2" t="n">
        <v>1.5</v>
      </c>
      <c r="F39" s="2" t="n">
        <v>0.5</v>
      </c>
      <c r="G39" s="2" t="n">
        <f aca="false">F39-E39</f>
        <v>-1</v>
      </c>
      <c r="H39" s="6" t="n">
        <f aca="false">(G39/E39)*100</f>
        <v>-66.6666666666667</v>
      </c>
      <c r="I39" s="2"/>
      <c r="J39" s="2"/>
      <c r="K39" s="2" t="n">
        <f aca="false">(F39-I38)/J38</f>
        <v>-1.02469507659596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customFormat="false" ht="14.25" hidden="false" customHeight="false" outlineLevel="0" collapsed="false">
      <c r="A40" s="2" t="n">
        <v>10</v>
      </c>
      <c r="B40" s="2" t="s">
        <v>13</v>
      </c>
      <c r="C40" s="2" t="n">
        <v>4</v>
      </c>
      <c r="D40" s="2" t="n">
        <v>2</v>
      </c>
      <c r="E40" s="2" t="n">
        <v>1.5</v>
      </c>
      <c r="F40" s="2" t="n">
        <v>0.75</v>
      </c>
      <c r="G40" s="2" t="n">
        <f aca="false">F40-E40</f>
        <v>-0.75</v>
      </c>
      <c r="H40" s="6" t="n">
        <f aca="false">(G40/E40)*100</f>
        <v>-50</v>
      </c>
      <c r="I40" s="2"/>
      <c r="J40" s="2"/>
      <c r="K40" s="2" t="n">
        <f aca="false">(F40-I38)/J38</f>
        <v>-0.43915503282684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customFormat="false" ht="14.25" hidden="false" customHeight="false" outlineLevel="0" collapsed="false">
      <c r="A41" s="2" t="n">
        <v>10</v>
      </c>
      <c r="B41" s="2" t="s">
        <v>14</v>
      </c>
      <c r="C41" s="2" t="n">
        <v>4</v>
      </c>
      <c r="D41" s="2" t="n">
        <v>1</v>
      </c>
      <c r="E41" s="2" t="n">
        <v>1.5</v>
      </c>
      <c r="F41" s="2" t="n">
        <v>1.5</v>
      </c>
      <c r="G41" s="2" t="n">
        <f aca="false">F41-E41</f>
        <v>0</v>
      </c>
      <c r="H41" s="6" t="n">
        <f aca="false">(G41/E41)*100</f>
        <v>0</v>
      </c>
      <c r="I41" s="2"/>
      <c r="J41" s="2"/>
      <c r="K41" s="2" t="n">
        <f aca="false">(F41-I38)/J38</f>
        <v>1.31746509848052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="5" customFormat="true" ht="14.25" hidden="false" customHeight="false" outlineLevel="0" collapsed="false">
      <c r="A42" s="3" t="n">
        <v>11</v>
      </c>
      <c r="B42" s="3" t="s">
        <v>11</v>
      </c>
      <c r="C42" s="3" t="n">
        <v>3</v>
      </c>
      <c r="D42" s="3" t="n">
        <v>3</v>
      </c>
      <c r="E42" s="3" t="n">
        <v>1</v>
      </c>
      <c r="F42" s="3" t="n">
        <v>0.5</v>
      </c>
      <c r="G42" s="3" t="n">
        <f aca="false">F42-E42</f>
        <v>-0.5</v>
      </c>
      <c r="H42" s="4" t="n">
        <f aca="false">(G42/E42)*100</f>
        <v>-50</v>
      </c>
      <c r="I42" s="3" t="n">
        <f aca="false">AVERAGE(F42:F45)</f>
        <v>0.5</v>
      </c>
      <c r="J42" s="3" t="n">
        <f aca="false">_xlfn.STDEV.S(F42:F45)</f>
        <v>0</v>
      </c>
      <c r="K42" s="3" t="e">
        <f aca="false">(F42-I42)/J42</f>
        <v>#DIV/0!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</row>
    <row r="43" s="5" customFormat="true" ht="14.25" hidden="false" customHeight="false" outlineLevel="0" collapsed="false">
      <c r="A43" s="3" t="n">
        <v>11</v>
      </c>
      <c r="B43" s="3" t="s">
        <v>12</v>
      </c>
      <c r="C43" s="3" t="n">
        <v>3</v>
      </c>
      <c r="D43" s="3" t="n">
        <v>4</v>
      </c>
      <c r="E43" s="3" t="n">
        <v>1</v>
      </c>
      <c r="F43" s="3" t="n">
        <v>0.5</v>
      </c>
      <c r="G43" s="3" t="n">
        <f aca="false">F43-E43</f>
        <v>-0.5</v>
      </c>
      <c r="H43" s="4" t="n">
        <f aca="false">(G43/E43)*100</f>
        <v>-50</v>
      </c>
      <c r="I43" s="3"/>
      <c r="J43" s="3"/>
      <c r="K43" s="3" t="e">
        <f aca="false">(F43-I42)/J42</f>
        <v>#DIV/0!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</row>
    <row r="44" s="5" customFormat="true" ht="14.25" hidden="false" customHeight="false" outlineLevel="0" collapsed="false">
      <c r="A44" s="3" t="n">
        <v>11</v>
      </c>
      <c r="B44" s="3" t="s">
        <v>13</v>
      </c>
      <c r="C44" s="3" t="n">
        <v>3</v>
      </c>
      <c r="D44" s="3" t="n">
        <v>1</v>
      </c>
      <c r="E44" s="3" t="n">
        <v>1</v>
      </c>
      <c r="F44" s="3" t="n">
        <v>0.5</v>
      </c>
      <c r="G44" s="3" t="n">
        <f aca="false">F44-E44</f>
        <v>-0.5</v>
      </c>
      <c r="H44" s="4" t="n">
        <f aca="false">(G44/E44)*100</f>
        <v>-50</v>
      </c>
      <c r="I44" s="3"/>
      <c r="J44" s="3"/>
      <c r="K44" s="3" t="e">
        <f aca="false">(F44-I42)/J42</f>
        <v>#DIV/0!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</row>
    <row r="45" s="5" customFormat="true" ht="14.25" hidden="false" customHeight="false" outlineLevel="0" collapsed="false">
      <c r="A45" s="3" t="n">
        <v>11</v>
      </c>
      <c r="B45" s="3" t="s">
        <v>14</v>
      </c>
      <c r="C45" s="3" t="n">
        <v>3</v>
      </c>
      <c r="D45" s="3" t="n">
        <v>2</v>
      </c>
      <c r="E45" s="3" t="n">
        <v>1</v>
      </c>
      <c r="F45" s="3" t="n">
        <v>0.5</v>
      </c>
      <c r="G45" s="3" t="n">
        <f aca="false">F45-E45</f>
        <v>-0.5</v>
      </c>
      <c r="H45" s="4" t="n">
        <f aca="false">(G45/E45)*100</f>
        <v>-50</v>
      </c>
      <c r="I45" s="3"/>
      <c r="J45" s="3"/>
      <c r="K45" s="3" t="e">
        <f aca="false">(F45-I42)/J42</f>
        <v>#DIV/0!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</row>
    <row r="46" customFormat="false" ht="14.25" hidden="false" customHeight="false" outlineLevel="0" collapsed="false">
      <c r="A46" s="2" t="n">
        <v>12</v>
      </c>
      <c r="B46" s="2" t="s">
        <v>11</v>
      </c>
      <c r="C46" s="2" t="n">
        <v>3</v>
      </c>
      <c r="D46" s="2" t="n">
        <v>3</v>
      </c>
      <c r="E46" s="2" t="n">
        <v>5</v>
      </c>
      <c r="F46" s="2" t="n">
        <v>4</v>
      </c>
      <c r="G46" s="2" t="n">
        <f aca="false">F46-E46</f>
        <v>-1</v>
      </c>
      <c r="H46" s="6" t="n">
        <f aca="false">(G46/E46)*100</f>
        <v>-20</v>
      </c>
      <c r="I46" s="2" t="n">
        <f aca="false">AVERAGE(F46:F49)</f>
        <v>3.125</v>
      </c>
      <c r="J46" s="2" t="n">
        <f aca="false">_xlfn.STDEV.S(F46:F49)</f>
        <v>0.853912563829967</v>
      </c>
      <c r="K46" s="2" t="n">
        <f aca="false">(F46-I46)/J46</f>
        <v>1.02469507659596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customFormat="false" ht="14.25" hidden="false" customHeight="false" outlineLevel="0" collapsed="false">
      <c r="A47" s="2" t="n">
        <v>12</v>
      </c>
      <c r="B47" s="2" t="s">
        <v>12</v>
      </c>
      <c r="C47" s="2" t="n">
        <v>3</v>
      </c>
      <c r="D47" s="2" t="n">
        <v>4</v>
      </c>
      <c r="E47" s="2" t="n">
        <v>5</v>
      </c>
      <c r="F47" s="2" t="n">
        <v>3</v>
      </c>
      <c r="G47" s="2" t="n">
        <f aca="false">F47-E47</f>
        <v>-2</v>
      </c>
      <c r="H47" s="6" t="n">
        <f aca="false">(G47/E47)*100</f>
        <v>-40</v>
      </c>
      <c r="I47" s="2"/>
      <c r="J47" s="2"/>
      <c r="K47" s="2" t="n">
        <f aca="false">(F47-I46)/J46</f>
        <v>-0.14638501094228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customFormat="false" ht="14.25" hidden="false" customHeight="false" outlineLevel="0" collapsed="false">
      <c r="A48" s="2" t="n">
        <v>12</v>
      </c>
      <c r="B48" s="2" t="s">
        <v>13</v>
      </c>
      <c r="C48" s="2" t="n">
        <v>3</v>
      </c>
      <c r="D48" s="2" t="n">
        <v>1</v>
      </c>
      <c r="E48" s="2" t="n">
        <v>5</v>
      </c>
      <c r="F48" s="2" t="n">
        <v>2</v>
      </c>
      <c r="G48" s="2" t="n">
        <f aca="false">F48-E48</f>
        <v>-3</v>
      </c>
      <c r="H48" s="6" t="n">
        <f aca="false">(G48/E48)*100</f>
        <v>-60</v>
      </c>
      <c r="I48" s="2"/>
      <c r="J48" s="2"/>
      <c r="K48" s="2" t="n">
        <f aca="false">(F48-I46)/J46</f>
        <v>-1.31746509848052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customFormat="false" ht="14.25" hidden="false" customHeight="false" outlineLevel="0" collapsed="false">
      <c r="A49" s="2" t="n">
        <v>12</v>
      </c>
      <c r="B49" s="2" t="s">
        <v>14</v>
      </c>
      <c r="C49" s="2" t="n">
        <v>3</v>
      </c>
      <c r="D49" s="2" t="n">
        <v>2</v>
      </c>
      <c r="E49" s="2" t="n">
        <v>5</v>
      </c>
      <c r="F49" s="2" t="n">
        <v>3.5</v>
      </c>
      <c r="G49" s="2" t="n">
        <f aca="false">F49-E49</f>
        <v>-1.5</v>
      </c>
      <c r="H49" s="6" t="n">
        <f aca="false">(G49/E49)*100</f>
        <v>-30</v>
      </c>
      <c r="I49" s="2"/>
      <c r="J49" s="2"/>
      <c r="K49" s="2" t="n">
        <f aca="false">(F49-I46)/J46</f>
        <v>0.43915503282684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="5" customFormat="true" ht="14.25" hidden="false" customHeight="false" outlineLevel="0" collapsed="false">
      <c r="A50" s="3" t="n">
        <v>13</v>
      </c>
      <c r="B50" s="3" t="s">
        <v>11</v>
      </c>
      <c r="C50" s="3" t="n">
        <v>1</v>
      </c>
      <c r="D50" s="3" t="n">
        <v>1</v>
      </c>
      <c r="E50" s="3" t="n">
        <v>4.5</v>
      </c>
      <c r="F50" s="3" t="n">
        <v>3</v>
      </c>
      <c r="G50" s="3" t="n">
        <f aca="false">F50-E50</f>
        <v>-1.5</v>
      </c>
      <c r="H50" s="4" t="n">
        <f aca="false">(G50/E50)*100</f>
        <v>-33.3333333333333</v>
      </c>
      <c r="I50" s="3" t="n">
        <f aca="false">AVERAGE(F50:F53)</f>
        <v>2.75</v>
      </c>
      <c r="J50" s="3" t="n">
        <f aca="false">_xlfn.STDEV.S(F50:F53)</f>
        <v>0.5</v>
      </c>
      <c r="K50" s="3" t="n">
        <f aca="false">(F50-I50)/J50</f>
        <v>0.5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</row>
    <row r="51" s="5" customFormat="true" ht="14.25" hidden="false" customHeight="false" outlineLevel="0" collapsed="false">
      <c r="A51" s="3" t="n">
        <v>13</v>
      </c>
      <c r="B51" s="3" t="s">
        <v>12</v>
      </c>
      <c r="C51" s="3" t="n">
        <v>1</v>
      </c>
      <c r="D51" s="3" t="n">
        <v>2</v>
      </c>
      <c r="E51" s="3" t="n">
        <v>4.5</v>
      </c>
      <c r="F51" s="3" t="n">
        <v>3</v>
      </c>
      <c r="G51" s="3" t="n">
        <f aca="false">F51-E51</f>
        <v>-1.5</v>
      </c>
      <c r="H51" s="4" t="n">
        <f aca="false">(G51/E51)*100</f>
        <v>-33.3333333333333</v>
      </c>
      <c r="I51" s="3"/>
      <c r="J51" s="3"/>
      <c r="K51" s="3" t="n">
        <f aca="false">(F51-I50)/J50</f>
        <v>0.5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</row>
    <row r="52" s="5" customFormat="true" ht="14.25" hidden="false" customHeight="false" outlineLevel="0" collapsed="false">
      <c r="A52" s="3" t="n">
        <v>13</v>
      </c>
      <c r="B52" s="3" t="s">
        <v>13</v>
      </c>
      <c r="C52" s="3" t="n">
        <v>1</v>
      </c>
      <c r="D52" s="3" t="n">
        <v>3</v>
      </c>
      <c r="E52" s="3" t="n">
        <v>4.5</v>
      </c>
      <c r="F52" s="3" t="n">
        <v>2</v>
      </c>
      <c r="G52" s="3" t="n">
        <f aca="false">F52-E52</f>
        <v>-2.5</v>
      </c>
      <c r="H52" s="4" t="n">
        <f aca="false">(G52/E52)*100</f>
        <v>-55.5555555555556</v>
      </c>
      <c r="I52" s="3"/>
      <c r="J52" s="3"/>
      <c r="K52" s="3" t="n">
        <f aca="false">(F52-I50)/J50</f>
        <v>-1.5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</row>
    <row r="53" s="5" customFormat="true" ht="14.25" hidden="false" customHeight="false" outlineLevel="0" collapsed="false">
      <c r="A53" s="3" t="n">
        <v>13</v>
      </c>
      <c r="B53" s="3" t="s">
        <v>14</v>
      </c>
      <c r="C53" s="3" t="n">
        <v>1</v>
      </c>
      <c r="D53" s="3" t="n">
        <v>4</v>
      </c>
      <c r="E53" s="3" t="n">
        <v>4.5</v>
      </c>
      <c r="F53" s="3" t="n">
        <v>3</v>
      </c>
      <c r="G53" s="3" t="n">
        <f aca="false">F53-E53</f>
        <v>-1.5</v>
      </c>
      <c r="H53" s="4" t="n">
        <f aca="false">(G53/E53)*100</f>
        <v>-33.3333333333333</v>
      </c>
      <c r="I53" s="3"/>
      <c r="J53" s="3"/>
      <c r="K53" s="3" t="n">
        <f aca="false">(F53-I50)/J50</f>
        <v>0.5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</row>
    <row r="54" customFormat="false" ht="14.25" hidden="false" customHeight="false" outlineLevel="0" collapsed="false">
      <c r="A54" s="2" t="n">
        <v>14</v>
      </c>
      <c r="B54" s="2" t="s">
        <v>11</v>
      </c>
      <c r="C54" s="2" t="n">
        <v>3</v>
      </c>
      <c r="D54" s="2" t="n">
        <v>3</v>
      </c>
      <c r="E54" s="2" t="n">
        <v>1.3</v>
      </c>
      <c r="F54" s="2" t="n">
        <v>1.3</v>
      </c>
      <c r="G54" s="2" t="n">
        <f aca="false">F54-E54</f>
        <v>0</v>
      </c>
      <c r="H54" s="6" t="n">
        <f aca="false">(G54/E54)*100</f>
        <v>0</v>
      </c>
      <c r="I54" s="2" t="n">
        <f aca="false">AVERAGE(F54:F57)</f>
        <v>0.85</v>
      </c>
      <c r="J54" s="2" t="n">
        <f aca="false">_xlfn.STDEV.S(F54:F57)</f>
        <v>0.387298334620742</v>
      </c>
      <c r="K54" s="2" t="n">
        <f aca="false">(F54-I54)/J54</f>
        <v>1.16189500386223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customFormat="false" ht="14.25" hidden="false" customHeight="false" outlineLevel="0" collapsed="false">
      <c r="A55" s="2" t="n">
        <v>14</v>
      </c>
      <c r="B55" s="2" t="s">
        <v>12</v>
      </c>
      <c r="C55" s="2" t="n">
        <v>3</v>
      </c>
      <c r="D55" s="2" t="n">
        <v>4</v>
      </c>
      <c r="E55" s="2" t="n">
        <v>1.3</v>
      </c>
      <c r="F55" s="2" t="n">
        <v>1</v>
      </c>
      <c r="G55" s="2" t="n">
        <f aca="false">F55-E55</f>
        <v>-0.3</v>
      </c>
      <c r="H55" s="6" t="n">
        <f aca="false">(G55/E55)*100</f>
        <v>-23.0769230769231</v>
      </c>
      <c r="I55" s="2"/>
      <c r="J55" s="2"/>
      <c r="K55" s="2" t="n">
        <f aca="false">(F55-I54)/J54</f>
        <v>0.387298334620742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customFormat="false" ht="14.25" hidden="false" customHeight="false" outlineLevel="0" collapsed="false">
      <c r="A56" s="2" t="n">
        <v>14</v>
      </c>
      <c r="B56" s="2" t="s">
        <v>13</v>
      </c>
      <c r="C56" s="2" t="n">
        <v>3</v>
      </c>
      <c r="D56" s="2" t="n">
        <v>1</v>
      </c>
      <c r="E56" s="2" t="n">
        <v>1.3</v>
      </c>
      <c r="F56" s="2" t="n">
        <v>0.7</v>
      </c>
      <c r="G56" s="2" t="n">
        <f aca="false">F56-E56</f>
        <v>-0.6</v>
      </c>
      <c r="H56" s="6" t="n">
        <f aca="false">(G56/E56)*100</f>
        <v>-46.1538461538462</v>
      </c>
      <c r="I56" s="2"/>
      <c r="J56" s="2"/>
      <c r="K56" s="2" t="n">
        <f aca="false">(F56-I54)/J54</f>
        <v>-0.387298334620742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customFormat="false" ht="14.25" hidden="false" customHeight="false" outlineLevel="0" collapsed="false">
      <c r="A57" s="2" t="n">
        <v>14</v>
      </c>
      <c r="B57" s="2" t="s">
        <v>14</v>
      </c>
      <c r="C57" s="2" t="n">
        <v>3</v>
      </c>
      <c r="D57" s="2" t="n">
        <v>2</v>
      </c>
      <c r="E57" s="2" t="n">
        <v>1.3</v>
      </c>
      <c r="F57" s="2" t="n">
        <v>0.4</v>
      </c>
      <c r="G57" s="2" t="n">
        <f aca="false">F57-E57</f>
        <v>-0.9</v>
      </c>
      <c r="H57" s="6" t="n">
        <f aca="false">(G57/E57)*100</f>
        <v>-69.2307692307692</v>
      </c>
      <c r="I57" s="2"/>
      <c r="J57" s="2"/>
      <c r="K57" s="2" t="n">
        <f aca="false">(F57-I54)/J54</f>
        <v>-1.16189500386222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customFormat="false" ht="14.25" hidden="false" customHeight="false" outlineLevel="0" collapsed="false">
      <c r="A58" s="3" t="n">
        <v>15</v>
      </c>
      <c r="B58" s="3" t="s">
        <v>11</v>
      </c>
      <c r="C58" s="3" t="n">
        <v>1</v>
      </c>
      <c r="D58" s="3" t="n">
        <v>1</v>
      </c>
      <c r="E58" s="3" t="n">
        <v>1.3</v>
      </c>
      <c r="F58" s="3" t="n">
        <v>0.4</v>
      </c>
      <c r="G58" s="3" t="n">
        <f aca="false">F58-E58</f>
        <v>-0.9</v>
      </c>
      <c r="H58" s="4" t="n">
        <f aca="false">(G58/E58)*100</f>
        <v>-69.2307692307692</v>
      </c>
      <c r="I58" s="3" t="n">
        <f aca="false">AVERAGE(F58:F61)</f>
        <v>0.85</v>
      </c>
      <c r="J58" s="3" t="n">
        <f aca="false">_xlfn.STDEV.S(F58:F61)</f>
        <v>0.341565025531987</v>
      </c>
      <c r="K58" s="3" t="n">
        <f aca="false">(F58-I58)/J58</f>
        <v>-1.31746509848052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</row>
    <row r="59" customFormat="false" ht="14.25" hidden="false" customHeight="false" outlineLevel="0" collapsed="false">
      <c r="A59" s="3" t="n">
        <v>15</v>
      </c>
      <c r="B59" s="3" t="s">
        <v>12</v>
      </c>
      <c r="C59" s="3" t="n">
        <v>1</v>
      </c>
      <c r="D59" s="3" t="n">
        <v>2</v>
      </c>
      <c r="E59" s="3" t="n">
        <v>1.3</v>
      </c>
      <c r="F59" s="3" t="n">
        <v>1.2</v>
      </c>
      <c r="G59" s="3" t="n">
        <f aca="false">F59-E59</f>
        <v>-0.1</v>
      </c>
      <c r="H59" s="4" t="n">
        <f aca="false">(G59/E59)*100</f>
        <v>-7.6923076923077</v>
      </c>
      <c r="I59" s="3"/>
      <c r="J59" s="3"/>
      <c r="K59" s="3" t="n">
        <f aca="false">(F59-I58)/J58</f>
        <v>1.02469507659596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</row>
    <row r="60" customFormat="false" ht="14.25" hidden="false" customHeight="false" outlineLevel="0" collapsed="false">
      <c r="A60" s="3" t="n">
        <v>15</v>
      </c>
      <c r="B60" s="3" t="s">
        <v>13</v>
      </c>
      <c r="C60" s="3" t="n">
        <v>1</v>
      </c>
      <c r="D60" s="3" t="n">
        <v>3</v>
      </c>
      <c r="E60" s="3" t="n">
        <v>1.3</v>
      </c>
      <c r="F60" s="3" t="n">
        <v>1</v>
      </c>
      <c r="G60" s="3" t="n">
        <f aca="false">F60-E60</f>
        <v>-0.3</v>
      </c>
      <c r="H60" s="4" t="n">
        <f aca="false">(G60/E60)*100</f>
        <v>-23.0769230769231</v>
      </c>
      <c r="I60" s="3"/>
      <c r="J60" s="3"/>
      <c r="K60" s="3" t="n">
        <f aca="false">(F60-I58)/J58</f>
        <v>0.43915503282684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customFormat="false" ht="14.25" hidden="false" customHeight="false" outlineLevel="0" collapsed="false">
      <c r="A61" s="3" t="n">
        <v>15</v>
      </c>
      <c r="B61" s="3" t="s">
        <v>14</v>
      </c>
      <c r="C61" s="3" t="n">
        <v>1</v>
      </c>
      <c r="D61" s="3" t="n">
        <v>4</v>
      </c>
      <c r="E61" s="3" t="n">
        <v>1.3</v>
      </c>
      <c r="F61" s="3" t="n">
        <v>0.8</v>
      </c>
      <c r="G61" s="3" t="n">
        <f aca="false">F61-E61</f>
        <v>-0.5</v>
      </c>
      <c r="H61" s="4" t="n">
        <f aca="false">(G61/E61)*100</f>
        <v>-38.4615384615385</v>
      </c>
      <c r="I61" s="3"/>
      <c r="J61" s="3"/>
      <c r="K61" s="3" t="n">
        <f aca="false">(F61-I58)/J58</f>
        <v>-0.14638501094228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</row>
    <row r="62" customFormat="false" ht="14.25" hidden="false" customHeight="false" outlineLevel="0" collapsed="false">
      <c r="A62" s="2" t="n">
        <v>16</v>
      </c>
      <c r="B62" s="2" t="s">
        <v>11</v>
      </c>
      <c r="C62" s="2" t="n">
        <v>2</v>
      </c>
      <c r="D62" s="2" t="n">
        <v>2</v>
      </c>
      <c r="E62" s="2" t="n">
        <v>4</v>
      </c>
      <c r="F62" s="2" t="n">
        <v>1.5</v>
      </c>
      <c r="G62" s="2" t="n">
        <f aca="false">F62-E62</f>
        <v>-2.5</v>
      </c>
      <c r="H62" s="6" t="n">
        <f aca="false">(G62/E62)*100</f>
        <v>-62.5</v>
      </c>
      <c r="I62" s="2" t="n">
        <f aca="false">AVERAGE(F62:F65)</f>
        <v>1.425</v>
      </c>
      <c r="J62" s="2" t="n">
        <f aca="false">_xlfn.STDEV.S(F62:F65)</f>
        <v>0.43493294502333</v>
      </c>
      <c r="K62" s="2" t="n">
        <f aca="false">(F62-I62)/J62</f>
        <v>0.172440374678853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customFormat="false" ht="14.25" hidden="false" customHeight="false" outlineLevel="0" collapsed="false">
      <c r="A63" s="2" t="n">
        <v>16</v>
      </c>
      <c r="B63" s="2" t="s">
        <v>12</v>
      </c>
      <c r="C63" s="2" t="n">
        <v>2</v>
      </c>
      <c r="D63" s="2" t="n">
        <v>1</v>
      </c>
      <c r="E63" s="2" t="n">
        <v>4</v>
      </c>
      <c r="F63" s="2" t="n">
        <v>2</v>
      </c>
      <c r="G63" s="2" t="n">
        <f aca="false">F63-E63</f>
        <v>-2</v>
      </c>
      <c r="H63" s="6" t="n">
        <f aca="false">(G63/E63)*100</f>
        <v>-50</v>
      </c>
      <c r="I63" s="2"/>
      <c r="J63" s="2"/>
      <c r="K63" s="2" t="n">
        <f aca="false">(F63-I62)/J62</f>
        <v>1.32204287253787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customFormat="false" ht="14.25" hidden="false" customHeight="false" outlineLevel="0" collapsed="false">
      <c r="A64" s="2" t="n">
        <v>16</v>
      </c>
      <c r="B64" s="2" t="s">
        <v>13</v>
      </c>
      <c r="C64" s="2" t="n">
        <v>2</v>
      </c>
      <c r="D64" s="2" t="n">
        <v>4</v>
      </c>
      <c r="E64" s="2" t="n">
        <v>4</v>
      </c>
      <c r="F64" s="2" t="n">
        <v>1.2</v>
      </c>
      <c r="G64" s="2" t="n">
        <f aca="false">F64-E64</f>
        <v>-2.8</v>
      </c>
      <c r="H64" s="6" t="n">
        <f aca="false">(G64/E64)*100</f>
        <v>-70</v>
      </c>
      <c r="I64" s="2"/>
      <c r="J64" s="2"/>
      <c r="K64" s="2" t="n">
        <f aca="false">(F64-I62)/J62</f>
        <v>-0.51732112403656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customFormat="false" ht="14.25" hidden="false" customHeight="false" outlineLevel="0" collapsed="false">
      <c r="A65" s="2" t="n">
        <v>16</v>
      </c>
      <c r="B65" s="2" t="s">
        <v>14</v>
      </c>
      <c r="C65" s="2" t="n">
        <v>2</v>
      </c>
      <c r="D65" s="2" t="n">
        <v>3</v>
      </c>
      <c r="E65" s="2" t="n">
        <v>4</v>
      </c>
      <c r="F65" s="2" t="n">
        <v>1</v>
      </c>
      <c r="G65" s="2" t="n">
        <f aca="false">F65-E65</f>
        <v>-3</v>
      </c>
      <c r="H65" s="6" t="n">
        <f aca="false">(G65/E65)*100</f>
        <v>-75</v>
      </c>
      <c r="I65" s="2"/>
      <c r="J65" s="2"/>
      <c r="K65" s="2" t="n">
        <f aca="false">(F65-I62)/J62</f>
        <v>-0.977162123180168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customFormat="false" ht="14.25" hidden="false" customHeight="false" outlineLevel="0" collapsed="false">
      <c r="A66" s="3" t="n">
        <v>17</v>
      </c>
      <c r="B66" s="3" t="s">
        <v>11</v>
      </c>
      <c r="C66" s="3" t="n">
        <v>4</v>
      </c>
      <c r="D66" s="3" t="n">
        <v>4</v>
      </c>
      <c r="E66" s="3" t="n">
        <v>4</v>
      </c>
      <c r="F66" s="3" t="n">
        <v>1</v>
      </c>
      <c r="G66" s="3" t="n">
        <f aca="false">F66-E66</f>
        <v>-3</v>
      </c>
      <c r="H66" s="4" t="n">
        <f aca="false">(G66/E66)*100</f>
        <v>-75</v>
      </c>
      <c r="I66" s="3" t="n">
        <f aca="false">AVERAGE(F66:F69)</f>
        <v>0.25</v>
      </c>
      <c r="J66" s="3" t="n">
        <f aca="false">_xlfn.STDEV.S(F66:F69)</f>
        <v>0.5</v>
      </c>
      <c r="K66" s="3" t="n">
        <f aca="false">(F66-I66)/J66</f>
        <v>1.5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</row>
    <row r="67" customFormat="false" ht="14.25" hidden="false" customHeight="false" outlineLevel="0" collapsed="false">
      <c r="A67" s="3" t="n">
        <v>17</v>
      </c>
      <c r="B67" s="3" t="s">
        <v>12</v>
      </c>
      <c r="C67" s="3" t="n">
        <v>4</v>
      </c>
      <c r="D67" s="3" t="n">
        <v>3</v>
      </c>
      <c r="E67" s="3" t="n">
        <v>4</v>
      </c>
      <c r="F67" s="3" t="n">
        <v>0</v>
      </c>
      <c r="G67" s="3" t="n">
        <f aca="false">F67-E67</f>
        <v>-4</v>
      </c>
      <c r="H67" s="4" t="n">
        <f aca="false">(G67/E67)*100</f>
        <v>-100</v>
      </c>
      <c r="I67" s="3"/>
      <c r="J67" s="3"/>
      <c r="K67" s="3" t="n">
        <f aca="false">(F67-I66)/J66</f>
        <v>-0.5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</row>
    <row r="68" customFormat="false" ht="14.25" hidden="false" customHeight="false" outlineLevel="0" collapsed="false">
      <c r="A68" s="3" t="n">
        <v>17</v>
      </c>
      <c r="B68" s="3" t="s">
        <v>13</v>
      </c>
      <c r="C68" s="3" t="n">
        <v>4</v>
      </c>
      <c r="D68" s="3" t="n">
        <v>2</v>
      </c>
      <c r="E68" s="3" t="n">
        <v>4</v>
      </c>
      <c r="F68" s="3" t="n">
        <v>0</v>
      </c>
      <c r="G68" s="3" t="n">
        <f aca="false">F68-E68</f>
        <v>-4</v>
      </c>
      <c r="H68" s="4" t="n">
        <f aca="false">(G68/E68)*100</f>
        <v>-100</v>
      </c>
      <c r="I68" s="3"/>
      <c r="J68" s="3"/>
      <c r="K68" s="3" t="n">
        <f aca="false">(F68-I66)/J66</f>
        <v>-0.5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</row>
    <row r="69" customFormat="false" ht="14.25" hidden="false" customHeight="false" outlineLevel="0" collapsed="false">
      <c r="A69" s="3" t="n">
        <v>17</v>
      </c>
      <c r="B69" s="3" t="s">
        <v>14</v>
      </c>
      <c r="C69" s="3" t="n">
        <v>4</v>
      </c>
      <c r="D69" s="3" t="n">
        <v>1</v>
      </c>
      <c r="E69" s="3" t="n">
        <v>4</v>
      </c>
      <c r="F69" s="3" t="n">
        <v>0</v>
      </c>
      <c r="G69" s="3" t="n">
        <f aca="false">F69-E69</f>
        <v>-4</v>
      </c>
      <c r="H69" s="4" t="n">
        <f aca="false">(G69/E69)*100</f>
        <v>-100</v>
      </c>
      <c r="I69" s="3"/>
      <c r="J69" s="3"/>
      <c r="K69" s="3" t="n">
        <f aca="false">(F69-I66)/J66</f>
        <v>-0.5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</row>
    <row r="70" customFormat="false" ht="14.25" hidden="false" customHeight="false" outlineLevel="0" collapsed="false">
      <c r="A70" s="2" t="n">
        <v>18</v>
      </c>
      <c r="B70" s="2" t="s">
        <v>11</v>
      </c>
      <c r="C70" s="2" t="n">
        <v>3</v>
      </c>
      <c r="D70" s="2" t="n">
        <v>3</v>
      </c>
      <c r="E70" s="2" t="n">
        <v>4</v>
      </c>
      <c r="F70" s="2" t="n">
        <v>3</v>
      </c>
      <c r="G70" s="2" t="n">
        <f aca="false">F70-E70</f>
        <v>-1</v>
      </c>
      <c r="H70" s="6" t="n">
        <f aca="false">(G70/E70)*100</f>
        <v>-25</v>
      </c>
      <c r="I70" s="2" t="n">
        <f aca="false">AVERAGE(F70:F73)</f>
        <v>2.6875</v>
      </c>
      <c r="J70" s="2" t="n">
        <f aca="false">_xlfn.STDEV.S(F70:F73)</f>
        <v>0.473242362150023</v>
      </c>
      <c r="K70" s="2" t="n">
        <f aca="false">(F70-I70)/J70</f>
        <v>0.660338179744218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customFormat="false" ht="14.25" hidden="false" customHeight="false" outlineLevel="0" collapsed="false">
      <c r="A71" s="2" t="n">
        <v>18</v>
      </c>
      <c r="B71" s="2" t="s">
        <v>12</v>
      </c>
      <c r="C71" s="2" t="n">
        <v>3</v>
      </c>
      <c r="D71" s="2" t="n">
        <v>4</v>
      </c>
      <c r="E71" s="2" t="n">
        <v>4</v>
      </c>
      <c r="F71" s="2" t="n">
        <v>3</v>
      </c>
      <c r="G71" s="2" t="n">
        <f aca="false">F71-E71</f>
        <v>-1</v>
      </c>
      <c r="H71" s="6" t="n">
        <f aca="false">(G71/E71)*100</f>
        <v>-25</v>
      </c>
      <c r="I71" s="2"/>
      <c r="J71" s="2"/>
      <c r="K71" s="2" t="n">
        <f aca="false">(F71-I70)/J70</f>
        <v>0.660338179744218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customFormat="false" ht="14.25" hidden="false" customHeight="false" outlineLevel="0" collapsed="false">
      <c r="A72" s="2" t="n">
        <v>18</v>
      </c>
      <c r="B72" s="2" t="s">
        <v>13</v>
      </c>
      <c r="C72" s="2" t="n">
        <v>3</v>
      </c>
      <c r="D72" s="2" t="n">
        <v>1</v>
      </c>
      <c r="E72" s="2" t="n">
        <v>4</v>
      </c>
      <c r="F72" s="2" t="n">
        <v>2.75</v>
      </c>
      <c r="G72" s="2" t="n">
        <f aca="false">F72-E72</f>
        <v>-1.25</v>
      </c>
      <c r="H72" s="6" t="n">
        <f aca="false">(G72/E72)*100</f>
        <v>-31.25</v>
      </c>
      <c r="I72" s="2"/>
      <c r="J72" s="2"/>
      <c r="K72" s="2" t="n">
        <f aca="false">(F72-I70)/J70</f>
        <v>0.132067635948844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customFormat="false" ht="14.25" hidden="false" customHeight="false" outlineLevel="0" collapsed="false">
      <c r="A73" s="2" t="n">
        <v>18</v>
      </c>
      <c r="B73" s="2" t="s">
        <v>14</v>
      </c>
      <c r="C73" s="2" t="n">
        <v>3</v>
      </c>
      <c r="D73" s="2" t="n">
        <v>2</v>
      </c>
      <c r="E73" s="2" t="n">
        <v>4</v>
      </c>
      <c r="F73" s="2" t="n">
        <v>2</v>
      </c>
      <c r="G73" s="2" t="n">
        <f aca="false">F73-E73</f>
        <v>-2</v>
      </c>
      <c r="H73" s="6" t="n">
        <f aca="false">(G73/E73)*100</f>
        <v>-50</v>
      </c>
      <c r="I73" s="2"/>
      <c r="J73" s="2"/>
      <c r="K73" s="2" t="n">
        <f aca="false">(F73-I70)/J70</f>
        <v>-1.45274399543728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customFormat="false" ht="14.25" hidden="false" customHeight="fals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customFormat="false" ht="14.2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customFormat="false" ht="14.2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customFormat="false" ht="14.2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customFormat="false" ht="14.2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customFormat="false" ht="14.2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customFormat="false" ht="14.2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customFormat="false" ht="14.2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customFormat="false" ht="14.2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customFormat="false" ht="14.2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customFormat="false" ht="14.2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customFormat="false" ht="14.2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customFormat="false" ht="14.2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customFormat="false" ht="14.2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customFormat="false" ht="14.2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customFormat="false" ht="14.2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customFormat="false" ht="14.25" hidden="false" customHeight="fals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customFormat="false" ht="14.25" hidden="false" customHeight="fals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customFormat="false" ht="14.25" hidden="false" customHeight="fals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customFormat="false" ht="14.25" hidden="false" customHeight="fals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customFormat="false" ht="14.25" hidden="false" customHeight="fals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customFormat="false" ht="14.2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customFormat="false" ht="14.25" hidden="false" customHeight="fals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customFormat="false" ht="14.25" hidden="false" customHeight="fals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customFormat="false" ht="14.25" hidden="false" customHeight="fals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customFormat="false" ht="14.25" hidden="false" customHeight="fals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customFormat="false" ht="14.25" hidden="false" customHeight="fals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customFormat="false" ht="14.25" hidden="false" customHeight="fals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customFormat="false" ht="14.25" hidden="false" customHeight="fals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customFormat="false" ht="14.25" hidden="false" customHeight="fals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customFormat="false" ht="14.25" hidden="false" customHeight="fals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customFormat="false" ht="14.2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customFormat="false" ht="14.25" hidden="false" customHeight="fals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customFormat="false" ht="14.25" hidden="false" customHeight="fals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customFormat="false" ht="14.25" hidden="false" customHeight="fals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customFormat="false" ht="14.25" hidden="false" customHeight="fals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customFormat="false" ht="14.25" hidden="false" customHeight="fals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customFormat="false" ht="14.25" hidden="false" customHeight="fals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customFormat="false" ht="14.2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customFormat="false" ht="14.25" hidden="false" customHeight="fals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customFormat="false" ht="14.25" hidden="false" customHeight="fals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customFormat="false" ht="14.25" hidden="false" customHeight="fals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customFormat="false" ht="14.25" hidden="false" customHeight="fals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customFormat="false" ht="14.25" hidden="false" customHeight="fals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customFormat="false" ht="14.25" hidden="false" customHeight="fals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customFormat="false" ht="14.25" hidden="false" customHeight="fals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customFormat="false" ht="14.2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customFormat="false" ht="14.25" hidden="false" customHeight="fals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customFormat="false" ht="14.25" hidden="false" customHeight="fals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customFormat="false" ht="14.25" hidden="false" customHeight="fals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customFormat="false" ht="14.25" hidden="false" customHeight="fals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customFormat="false" ht="14.25" hidden="false" customHeight="fals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customFormat="false" ht="14.2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customFormat="false" ht="14.2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customFormat="false" ht="14.25" hidden="false" customHeight="fals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customFormat="false" ht="14.25" hidden="false" customHeight="fals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customFormat="false" ht="14.25" hidden="false" customHeight="fals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customFormat="false" ht="14.25" hidden="false" customHeight="fals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customFormat="false" ht="14.25" hidden="false" customHeight="fals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customFormat="false" ht="14.25" hidden="false" customHeight="fals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customFormat="false" ht="14.25" hidden="false" customHeight="fals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customFormat="false" ht="14.25" hidden="false" customHeight="fals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customFormat="false" ht="14.25" hidden="false" customHeight="fals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customFormat="false" ht="14.25" hidden="false" customHeight="fals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customFormat="false" ht="14.25" hidden="false" customHeight="fals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customFormat="false" ht="14.25" hidden="false" customHeight="fals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customFormat="false" ht="14.25" hidden="false" customHeight="fals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customFormat="false" ht="14.25" hidden="false" customHeight="fals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customFormat="false" ht="14.25" hidden="false" customHeight="fals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customFormat="false" ht="14.25" hidden="false" customHeight="fals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customFormat="false" ht="14.25" hidden="false" customHeight="fals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customFormat="false" ht="14.25" hidden="false" customHeight="fals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customFormat="false" ht="14.2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customFormat="false" ht="14.25" hidden="false" customHeight="fals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customFormat="false" ht="14.25" hidden="false" customHeight="fals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customFormat="false" ht="14.25" hidden="false" customHeight="fals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customFormat="false" ht="14.25" hidden="false" customHeight="fals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customFormat="false" ht="14.25" hidden="false" customHeight="fals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customFormat="false" ht="14.25" hidden="false" customHeight="fals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customFormat="false" ht="14.25" hidden="false" customHeight="fals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customFormat="false" ht="14.25" hidden="false" customHeight="fals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customFormat="false" ht="14.25" hidden="false" customHeight="fals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customFormat="false" ht="14.25" hidden="false" customHeight="fals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customFormat="false" ht="14.25" hidden="false" customHeight="fals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customFormat="false" ht="14.25" hidden="false" customHeight="fals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customFormat="false" ht="14.25" hidden="false" customHeight="fals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customFormat="false" ht="14.25" hidden="false" customHeight="fals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customFormat="false" ht="14.25" hidden="false" customHeight="fals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customFormat="false" ht="14.25" hidden="false" customHeight="fals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customFormat="false" ht="14.25" hidden="false" customHeight="fals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customFormat="false" ht="14.25" hidden="false" customHeight="fals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customFormat="false" ht="14.25" hidden="false" customHeight="fals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customFormat="false" ht="14.25" hidden="false" customHeight="fals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customFormat="false" ht="14.25" hidden="false" customHeight="fals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customFormat="false" ht="14.25" hidden="false" customHeight="fals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customFormat="false" ht="14.25" hidden="false" customHeight="fals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customFormat="false" ht="14.25" hidden="false" customHeight="fals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customFormat="false" ht="14.25" hidden="false" customHeight="fals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customFormat="false" ht="14.25" hidden="false" customHeight="fals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customFormat="false" ht="14.25" hidden="false" customHeight="fals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customFormat="false" ht="14.25" hidden="false" customHeight="fals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customFormat="false" ht="14.25" hidden="false" customHeight="fals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customFormat="false" ht="14.25" hidden="false" customHeight="fals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customFormat="false" ht="14.25" hidden="false" customHeight="fals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customFormat="false" ht="14.25" hidden="false" customHeight="fals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customFormat="false" ht="14.25" hidden="false" customHeight="fals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customFormat="false" ht="14.25" hidden="false" customHeight="fals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customFormat="false" ht="14.25" hidden="false" customHeight="fals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customFormat="false" ht="14.25" hidden="false" customHeight="fals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customFormat="false" ht="14.25" hidden="false" customHeight="fals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customFormat="false" ht="14.25" hidden="false" customHeight="fals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customFormat="false" ht="14.25" hidden="false" customHeight="fals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customFormat="false" ht="14.25" hidden="false" customHeight="fals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customFormat="false" ht="14.25" hidden="false" customHeight="fals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customFormat="false" ht="14.25" hidden="false" customHeight="fals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customFormat="false" ht="14.25" hidden="false" customHeight="fals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customFormat="false" ht="14.25" hidden="false" customHeight="fals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customFormat="false" ht="14.25" hidden="false" customHeight="fals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customFormat="false" ht="14.25" hidden="false" customHeight="fals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customFormat="false" ht="14.25" hidden="false" customHeight="fals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customFormat="false" ht="14.25" hidden="false" customHeight="fals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customFormat="false" ht="14.25" hidden="false" customHeight="fals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customFormat="false" ht="14.25" hidden="false" customHeight="fals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customFormat="false" ht="14.25" hidden="false" customHeight="fals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customFormat="false" ht="14.25" hidden="false" customHeight="fals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customFormat="false" ht="14.25" hidden="false" customHeight="fals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customFormat="false" ht="14.25" hidden="false" customHeight="fals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customFormat="false" ht="14.25" hidden="false" customHeight="fals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customFormat="false" ht="14.25" hidden="false" customHeight="fals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customFormat="false" ht="14.25" hidden="false" customHeight="fals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customFormat="false" ht="14.25" hidden="false" customHeight="fals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customFormat="false" ht="14.25" hidden="false" customHeight="fals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customFormat="false" ht="14.25" hidden="false" customHeight="fals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customFormat="false" ht="14.25" hidden="false" customHeight="fals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customFormat="false" ht="14.25" hidden="false" customHeight="fals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customFormat="false" ht="14.25" hidden="false" customHeight="fals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customFormat="false" ht="14.25" hidden="false" customHeight="fals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customFormat="false" ht="14.25" hidden="false" customHeight="fals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customFormat="false" ht="14.25" hidden="false" customHeight="fals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customFormat="false" ht="14.25" hidden="false" customHeight="fals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customFormat="false" ht="14.25" hidden="false" customHeight="fals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customFormat="false" ht="14.25" hidden="false" customHeight="fals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customFormat="false" ht="14.25" hidden="false" customHeight="fals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customFormat="false" ht="14.25" hidden="false" customHeight="fals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customFormat="false" ht="14.25" hidden="false" customHeight="fals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customFormat="false" ht="14.25" hidden="false" customHeight="fals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customFormat="false" ht="14.25" hidden="false" customHeight="fals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customFormat="false" ht="14.2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customFormat="false" ht="14.2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customFormat="false" ht="14.2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customFormat="false" ht="14.2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customFormat="false" ht="14.2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customFormat="false" ht="14.2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customFormat="false" ht="14.2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customFormat="false" ht="14.2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customFormat="false" ht="14.2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customFormat="false" ht="14.2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customFormat="false" ht="14.2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customFormat="false" ht="14.2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customFormat="false" ht="14.2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customFormat="false" ht="14.2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customFormat="false" ht="14.2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customFormat="false" ht="14.2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customFormat="false" ht="14.2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customFormat="false" ht="14.2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customFormat="false" ht="14.2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customFormat="false" ht="14.2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customFormat="false" ht="14.2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customFormat="false" ht="14.2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customFormat="false" ht="14.2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customFormat="false" ht="14.2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customFormat="false" ht="14.2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customFormat="false" ht="14.2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customFormat="false" ht="14.2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customFormat="false" ht="14.2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customFormat="false" ht="14.2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customFormat="false" ht="14.2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customFormat="false" ht="14.2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customFormat="false" ht="14.2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customFormat="false" ht="14.2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customFormat="false" ht="14.2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customFormat="false" ht="14.2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customFormat="false" ht="14.2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customFormat="false" ht="14.2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customFormat="false" ht="14.2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customFormat="false" ht="14.2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customFormat="false" ht="14.2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customFormat="false" ht="14.2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customFormat="false" ht="14.2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customFormat="false" ht="14.2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customFormat="false" ht="14.2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customFormat="false" ht="14.2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customFormat="false" ht="14.2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customFormat="false" ht="14.2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customFormat="false" ht="14.2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customFormat="false" ht="14.2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customFormat="false" ht="14.2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customFormat="false" ht="14.2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customFormat="false" ht="14.2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customFormat="false" ht="14.2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customFormat="false" ht="14.2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customFormat="false" ht="14.2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customFormat="false" ht="14.2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customFormat="false" ht="14.2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customFormat="false" ht="14.2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customFormat="false" ht="14.2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customFormat="false" ht="14.2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customFormat="false" ht="14.2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customFormat="false" ht="14.2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customFormat="false" ht="14.2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customFormat="false" ht="14.2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customFormat="false" ht="14.2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customFormat="false" ht="14.2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customFormat="false" ht="14.2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customFormat="false" ht="14.2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customFormat="false" ht="14.2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customFormat="false" ht="14.2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customFormat="false" ht="14.2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customFormat="false" ht="14.2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customFormat="false" ht="14.2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customFormat="false" ht="14.2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customFormat="false" ht="14.2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customFormat="false" ht="14.2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customFormat="false" ht="14.2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customFormat="false" ht="14.2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customFormat="false" ht="14.2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customFormat="false" ht="14.2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customFormat="false" ht="14.2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customFormat="false" ht="14.2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customFormat="false" ht="14.2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customFormat="false" ht="14.2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customFormat="false" ht="14.2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customFormat="false" ht="14.2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customFormat="false" ht="14.2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customFormat="false" ht="14.2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customFormat="false" ht="14.2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customFormat="false" ht="14.2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customFormat="false" ht="14.2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customFormat="false" ht="14.2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customFormat="false" ht="14.2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customFormat="false" ht="14.2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customFormat="false" ht="14.2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customFormat="false" ht="14.2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customFormat="false" ht="14.2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customFormat="false" ht="14.2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customFormat="false" ht="14.2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customFormat="false" ht="14.2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customFormat="false" ht="14.2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customFormat="false" ht="14.2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customFormat="false" ht="14.2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customFormat="false" ht="14.2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customFormat="false" ht="14.2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customFormat="false" ht="14.2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customFormat="false" ht="14.2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customFormat="false" ht="14.2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customFormat="false" ht="14.2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customFormat="false" ht="14.2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customFormat="false" ht="14.2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customFormat="false" ht="14.2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customFormat="false" ht="14.2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customFormat="false" ht="14.2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customFormat="false" ht="14.2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customFormat="false" ht="14.2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customFormat="false" ht="14.2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</row>
    <row r="338" customFormat="false" ht="14.2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customFormat="false" ht="14.2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customFormat="false" ht="14.2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customFormat="false" ht="14.2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customFormat="false" ht="14.2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</sheetData>
  <conditionalFormatting sqref="H2:H73">
    <cfRule type="colorScale" priority="2">
      <colorScale>
        <cfvo type="min" val="0"/>
        <cfvo type="num" val="0"/>
        <cfvo type="max" val="0"/>
        <color rgb="FF00B050"/>
        <color rgb="FFFFEB84"/>
        <color rgb="FFFF00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" activeCellId="0" sqref="AA1"/>
    </sheetView>
  </sheetViews>
  <sheetFormatPr defaultColWidth="8.34375" defaultRowHeight="14.25" customHeight="true" zeroHeight="false" outlineLevelRow="0" outlineLevelCol="0"/>
  <cols>
    <col collapsed="false" customWidth="true" hidden="false" outlineLevel="0" max="27" min="27" style="8" width="14.54"/>
  </cols>
  <sheetData>
    <row r="1" customFormat="false" ht="14.25" hidden="false" customHeight="false" outlineLevel="0" collapsed="false">
      <c r="A1" s="9" t="s">
        <v>0</v>
      </c>
      <c r="B1" s="9" t="s">
        <v>1</v>
      </c>
      <c r="C1" s="9" t="s">
        <v>2</v>
      </c>
      <c r="D1" s="9" t="s">
        <v>3</v>
      </c>
      <c r="E1" s="10" t="s">
        <v>17</v>
      </c>
      <c r="F1" s="10" t="s">
        <v>18</v>
      </c>
      <c r="G1" s="10" t="s">
        <v>19</v>
      </c>
      <c r="H1" s="10" t="s">
        <v>20</v>
      </c>
      <c r="I1" s="10" t="s">
        <v>21</v>
      </c>
      <c r="J1" s="10" t="s">
        <v>22</v>
      </c>
      <c r="K1" s="10" t="s">
        <v>23</v>
      </c>
      <c r="L1" s="10" t="s">
        <v>24</v>
      </c>
      <c r="M1" s="10" t="s">
        <v>25</v>
      </c>
      <c r="N1" s="10" t="s">
        <v>26</v>
      </c>
      <c r="O1" s="10" t="s">
        <v>27</v>
      </c>
      <c r="P1" s="10" t="s">
        <v>28</v>
      </c>
      <c r="Q1" s="10" t="s">
        <v>29</v>
      </c>
      <c r="R1" s="10" t="s">
        <v>30</v>
      </c>
      <c r="S1" s="10" t="s">
        <v>31</v>
      </c>
      <c r="T1" s="10" t="s">
        <v>32</v>
      </c>
      <c r="U1" s="10" t="s">
        <v>33</v>
      </c>
      <c r="V1" s="10" t="s">
        <v>34</v>
      </c>
      <c r="W1" s="10" t="s">
        <v>35</v>
      </c>
      <c r="X1" s="10" t="s">
        <v>36</v>
      </c>
      <c r="Y1" s="10" t="s">
        <v>37</v>
      </c>
      <c r="Z1" s="10" t="s">
        <v>38</v>
      </c>
      <c r="AA1" s="11" t="s">
        <v>39</v>
      </c>
    </row>
    <row r="2" customFormat="false" ht="14.25" hidden="false" customHeight="false" outlineLevel="0" collapsed="false">
      <c r="A2" s="12" t="n">
        <v>1</v>
      </c>
      <c r="B2" s="12" t="s">
        <v>11</v>
      </c>
      <c r="C2" s="12" t="n">
        <v>2</v>
      </c>
      <c r="D2" s="12" t="n">
        <v>2</v>
      </c>
      <c r="E2" s="13" t="n">
        <v>6</v>
      </c>
      <c r="F2" s="13" t="n">
        <v>6</v>
      </c>
      <c r="G2" s="13" t="n">
        <v>6</v>
      </c>
      <c r="H2" s="13" t="n">
        <v>7</v>
      </c>
      <c r="I2" s="13" t="n">
        <v>4</v>
      </c>
      <c r="J2" s="13" t="n">
        <v>7</v>
      </c>
      <c r="K2" s="13" t="n">
        <v>6</v>
      </c>
      <c r="L2" s="13" t="n">
        <v>6</v>
      </c>
      <c r="M2" s="13" t="n">
        <v>7</v>
      </c>
      <c r="N2" s="13" t="n">
        <v>4</v>
      </c>
      <c r="O2" s="13" t="n">
        <v>6</v>
      </c>
      <c r="P2" s="13" t="n">
        <v>5</v>
      </c>
      <c r="Q2" s="13" t="n">
        <v>6</v>
      </c>
      <c r="R2" s="13" t="n">
        <v>2</v>
      </c>
      <c r="S2" s="13" t="n">
        <v>6</v>
      </c>
      <c r="T2" s="13" t="n">
        <v>5</v>
      </c>
      <c r="U2" s="13" t="n">
        <v>5</v>
      </c>
      <c r="V2" s="13" t="n">
        <v>1</v>
      </c>
      <c r="W2" s="13" t="n">
        <v>7</v>
      </c>
      <c r="X2" s="13" t="n">
        <v>1</v>
      </c>
      <c r="Y2" s="13" t="n">
        <v>7</v>
      </c>
      <c r="Z2" s="13" t="n">
        <v>6</v>
      </c>
      <c r="AA2" s="14" t="n">
        <v>5.894736842</v>
      </c>
    </row>
    <row r="3" customFormat="false" ht="14.25" hidden="false" customHeight="false" outlineLevel="0" collapsed="false">
      <c r="A3" s="12" t="n">
        <v>1</v>
      </c>
      <c r="B3" s="12" t="s">
        <v>12</v>
      </c>
      <c r="C3" s="12" t="n">
        <v>2</v>
      </c>
      <c r="D3" s="12" t="n">
        <v>1</v>
      </c>
      <c r="E3" s="13" t="n">
        <v>6</v>
      </c>
      <c r="F3" s="13" t="n">
        <v>7</v>
      </c>
      <c r="G3" s="13" t="n">
        <v>6</v>
      </c>
      <c r="H3" s="13" t="n">
        <v>6</v>
      </c>
      <c r="I3" s="13" t="n">
        <v>4</v>
      </c>
      <c r="J3" s="13" t="n">
        <v>6</v>
      </c>
      <c r="K3" s="13" t="n">
        <v>6</v>
      </c>
      <c r="L3" s="13" t="n">
        <v>6</v>
      </c>
      <c r="M3" s="13" t="n">
        <v>6</v>
      </c>
      <c r="N3" s="13" t="n">
        <v>5</v>
      </c>
      <c r="O3" s="13" t="n">
        <v>4</v>
      </c>
      <c r="P3" s="13" t="n">
        <v>5</v>
      </c>
      <c r="Q3" s="13" t="n">
        <v>7</v>
      </c>
      <c r="R3" s="13" t="n">
        <v>1</v>
      </c>
      <c r="S3" s="13" t="n">
        <v>7</v>
      </c>
      <c r="T3" s="13" t="n">
        <v>7</v>
      </c>
      <c r="U3" s="13" t="n">
        <v>7</v>
      </c>
      <c r="V3" s="13" t="n">
        <v>1</v>
      </c>
      <c r="W3" s="13" t="n">
        <v>7</v>
      </c>
      <c r="X3" s="13" t="n">
        <v>8</v>
      </c>
      <c r="Y3" s="13" t="n">
        <v>0</v>
      </c>
      <c r="Z3" s="13" t="n">
        <v>4</v>
      </c>
      <c r="AA3" s="14" t="n">
        <v>5.578947368</v>
      </c>
    </row>
    <row r="4" customFormat="false" ht="14.25" hidden="false" customHeight="false" outlineLevel="0" collapsed="false">
      <c r="A4" s="12" t="n">
        <v>1</v>
      </c>
      <c r="B4" s="12" t="s">
        <v>13</v>
      </c>
      <c r="C4" s="12" t="n">
        <v>2</v>
      </c>
      <c r="D4" s="12" t="n">
        <v>4</v>
      </c>
      <c r="E4" s="13" t="n">
        <v>6</v>
      </c>
      <c r="F4" s="13" t="n">
        <v>7</v>
      </c>
      <c r="G4" s="13" t="n">
        <v>6</v>
      </c>
      <c r="H4" s="13" t="n">
        <v>7</v>
      </c>
      <c r="I4" s="13" t="n">
        <v>4</v>
      </c>
      <c r="J4" s="13" t="n">
        <v>6</v>
      </c>
      <c r="K4" s="13" t="n">
        <v>6</v>
      </c>
      <c r="L4" s="13" t="n">
        <v>6</v>
      </c>
      <c r="M4" s="13" t="n">
        <v>6</v>
      </c>
      <c r="N4" s="13" t="n">
        <v>4</v>
      </c>
      <c r="O4" s="13" t="n">
        <v>4</v>
      </c>
      <c r="P4" s="13" t="n">
        <v>5</v>
      </c>
      <c r="Q4" s="13" t="n">
        <v>6</v>
      </c>
      <c r="R4" s="13" t="n">
        <v>1</v>
      </c>
      <c r="S4" s="13" t="n">
        <v>7</v>
      </c>
      <c r="T4" s="13" t="n">
        <v>7</v>
      </c>
      <c r="U4" s="13" t="n">
        <v>6</v>
      </c>
      <c r="V4" s="13" t="n">
        <v>1</v>
      </c>
      <c r="W4" s="13" t="n">
        <v>7</v>
      </c>
      <c r="X4" s="13" t="n">
        <v>1</v>
      </c>
      <c r="Y4" s="13" t="n">
        <v>7</v>
      </c>
      <c r="Z4" s="13" t="n">
        <v>6</v>
      </c>
      <c r="AA4" s="14" t="n">
        <v>5.947368421</v>
      </c>
    </row>
    <row r="5" customFormat="false" ht="14.25" hidden="false" customHeight="false" outlineLevel="0" collapsed="false">
      <c r="A5" s="12" t="n">
        <v>1</v>
      </c>
      <c r="B5" s="12" t="s">
        <v>14</v>
      </c>
      <c r="C5" s="12" t="n">
        <v>2</v>
      </c>
      <c r="D5" s="12" t="n">
        <v>3</v>
      </c>
      <c r="E5" s="13" t="n">
        <v>6</v>
      </c>
      <c r="F5" s="13" t="n">
        <v>7</v>
      </c>
      <c r="G5" s="13" t="n">
        <v>6</v>
      </c>
      <c r="H5" s="13" t="n">
        <v>6</v>
      </c>
      <c r="I5" s="13" t="n">
        <v>4</v>
      </c>
      <c r="J5" s="13" t="n">
        <v>6</v>
      </c>
      <c r="K5" s="13" t="n">
        <v>6</v>
      </c>
      <c r="L5" s="13" t="n">
        <v>7</v>
      </c>
      <c r="M5" s="13" t="n">
        <v>7</v>
      </c>
      <c r="N5" s="13" t="n">
        <v>4</v>
      </c>
      <c r="O5" s="13" t="n">
        <v>6</v>
      </c>
      <c r="P5" s="13" t="n">
        <v>4</v>
      </c>
      <c r="Q5" s="13" t="n">
        <v>7</v>
      </c>
      <c r="R5" s="13" t="n">
        <v>1</v>
      </c>
      <c r="S5" s="13" t="n">
        <v>7</v>
      </c>
      <c r="T5" s="13" t="n">
        <v>7</v>
      </c>
      <c r="U5" s="13" t="n">
        <v>6</v>
      </c>
      <c r="V5" s="13" t="n">
        <v>1</v>
      </c>
      <c r="W5" s="13" t="n">
        <v>7</v>
      </c>
      <c r="X5" s="13" t="n">
        <v>1</v>
      </c>
      <c r="Y5" s="13" t="n">
        <v>7</v>
      </c>
      <c r="Z5" s="13" t="n">
        <v>6</v>
      </c>
      <c r="AA5" s="14" t="n">
        <v>6.105263158</v>
      </c>
    </row>
    <row r="6" customFormat="false" ht="14.25" hidden="false" customHeight="false" outlineLevel="0" collapsed="false">
      <c r="A6" s="15" t="n">
        <v>2</v>
      </c>
      <c r="B6" s="15" t="s">
        <v>11</v>
      </c>
      <c r="C6" s="15" t="n">
        <v>1</v>
      </c>
      <c r="D6" s="15" t="n">
        <v>1</v>
      </c>
      <c r="E6" s="16" t="n">
        <v>7</v>
      </c>
      <c r="F6" s="16" t="n">
        <v>7</v>
      </c>
      <c r="G6" s="16" t="n">
        <v>6</v>
      </c>
      <c r="H6" s="16" t="n">
        <v>6</v>
      </c>
      <c r="I6" s="16" t="n">
        <v>6</v>
      </c>
      <c r="J6" s="16" t="n">
        <v>5</v>
      </c>
      <c r="K6" s="16" t="n">
        <v>6</v>
      </c>
      <c r="L6" s="16" t="n">
        <v>6</v>
      </c>
      <c r="M6" s="16" t="n">
        <v>6</v>
      </c>
      <c r="N6" s="16" t="n">
        <v>6</v>
      </c>
      <c r="O6" s="16" t="n">
        <v>5</v>
      </c>
      <c r="P6" s="16" t="n">
        <v>4</v>
      </c>
      <c r="Q6" s="16" t="n">
        <v>5</v>
      </c>
      <c r="R6" s="16" t="n">
        <v>2</v>
      </c>
      <c r="S6" s="16" t="n">
        <v>6</v>
      </c>
      <c r="T6" s="16" t="n">
        <v>7</v>
      </c>
      <c r="U6" s="16" t="n">
        <v>7</v>
      </c>
      <c r="V6" s="16" t="n">
        <v>1</v>
      </c>
      <c r="W6" s="16" t="n">
        <v>7</v>
      </c>
      <c r="X6" s="16" t="n">
        <v>1</v>
      </c>
      <c r="Y6" s="16" t="n">
        <v>7</v>
      </c>
      <c r="Z6" s="16" t="n">
        <v>6</v>
      </c>
      <c r="AA6" s="14" t="n">
        <v>6.052631579</v>
      </c>
    </row>
    <row r="7" customFormat="false" ht="14.25" hidden="false" customHeight="false" outlineLevel="0" collapsed="false">
      <c r="A7" s="15" t="n">
        <v>2</v>
      </c>
      <c r="B7" s="15" t="s">
        <v>12</v>
      </c>
      <c r="C7" s="15" t="n">
        <v>1</v>
      </c>
      <c r="D7" s="15" t="n">
        <v>2</v>
      </c>
      <c r="E7" s="16" t="n">
        <v>6</v>
      </c>
      <c r="F7" s="16" t="n">
        <v>6</v>
      </c>
      <c r="G7" s="16" t="n">
        <v>6</v>
      </c>
      <c r="H7" s="16" t="n">
        <v>7</v>
      </c>
      <c r="I7" s="16" t="n">
        <v>6</v>
      </c>
      <c r="J7" s="16" t="n">
        <v>6</v>
      </c>
      <c r="K7" s="16" t="n">
        <v>6</v>
      </c>
      <c r="L7" s="16" t="n">
        <v>6</v>
      </c>
      <c r="M7" s="16" t="n">
        <v>6</v>
      </c>
      <c r="N7" s="16" t="n">
        <v>6</v>
      </c>
      <c r="O7" s="16" t="n">
        <v>6</v>
      </c>
      <c r="P7" s="16" t="n">
        <v>5</v>
      </c>
      <c r="Q7" s="16" t="n">
        <v>7</v>
      </c>
      <c r="R7" s="16" t="n">
        <v>6</v>
      </c>
      <c r="S7" s="16" t="n">
        <v>2</v>
      </c>
      <c r="T7" s="16" t="n">
        <v>7</v>
      </c>
      <c r="U7" s="16" t="n">
        <v>6</v>
      </c>
      <c r="V7" s="16" t="n">
        <v>2</v>
      </c>
      <c r="W7" s="16" t="n">
        <v>6</v>
      </c>
      <c r="X7" s="16" t="n">
        <v>8</v>
      </c>
      <c r="Y7" s="16" t="n">
        <v>0</v>
      </c>
      <c r="Z7" s="16" t="n">
        <v>6</v>
      </c>
      <c r="AA7" s="14" t="n">
        <v>5.578947368</v>
      </c>
    </row>
    <row r="8" customFormat="false" ht="14.25" hidden="false" customHeight="false" outlineLevel="0" collapsed="false">
      <c r="A8" s="15" t="n">
        <v>2</v>
      </c>
      <c r="B8" s="15" t="s">
        <v>13</v>
      </c>
      <c r="C8" s="15" t="n">
        <v>1</v>
      </c>
      <c r="D8" s="15" t="n">
        <v>3</v>
      </c>
      <c r="E8" s="16" t="n">
        <v>5</v>
      </c>
      <c r="F8" s="16" t="n">
        <v>5</v>
      </c>
      <c r="G8" s="16" t="n">
        <v>5</v>
      </c>
      <c r="H8" s="16" t="n">
        <v>6</v>
      </c>
      <c r="I8" s="16" t="n">
        <v>6</v>
      </c>
      <c r="J8" s="16" t="n">
        <v>5</v>
      </c>
      <c r="K8" s="16" t="n">
        <v>5</v>
      </c>
      <c r="L8" s="16" t="n">
        <v>6</v>
      </c>
      <c r="M8" s="16" t="n">
        <v>6</v>
      </c>
      <c r="N8" s="16" t="n">
        <v>6</v>
      </c>
      <c r="O8" s="16" t="n">
        <v>5</v>
      </c>
      <c r="P8" s="16" t="n">
        <v>5</v>
      </c>
      <c r="Q8" s="16" t="n">
        <v>7</v>
      </c>
      <c r="R8" s="16" t="n">
        <v>5</v>
      </c>
      <c r="S8" s="16" t="n">
        <v>3</v>
      </c>
      <c r="T8" s="16" t="n">
        <v>7</v>
      </c>
      <c r="U8" s="16" t="n">
        <v>6</v>
      </c>
      <c r="V8" s="16" t="n">
        <v>2</v>
      </c>
      <c r="W8" s="16" t="n">
        <v>6</v>
      </c>
      <c r="X8" s="16" t="n">
        <v>8</v>
      </c>
      <c r="Y8" s="16" t="n">
        <v>0</v>
      </c>
      <c r="Z8" s="16" t="n">
        <v>6</v>
      </c>
      <c r="AA8" s="14" t="n">
        <v>5.263157895</v>
      </c>
    </row>
    <row r="9" customFormat="false" ht="14.25" hidden="false" customHeight="false" outlineLevel="0" collapsed="false">
      <c r="A9" s="15" t="n">
        <v>2</v>
      </c>
      <c r="B9" s="15" t="s">
        <v>14</v>
      </c>
      <c r="C9" s="15" t="n">
        <v>1</v>
      </c>
      <c r="D9" s="15" t="n">
        <v>4</v>
      </c>
      <c r="E9" s="16" t="n">
        <v>5</v>
      </c>
      <c r="F9" s="16" t="n">
        <v>5</v>
      </c>
      <c r="G9" s="16" t="n">
        <v>5</v>
      </c>
      <c r="H9" s="16" t="n">
        <v>7</v>
      </c>
      <c r="I9" s="16" t="n">
        <v>5</v>
      </c>
      <c r="J9" s="16" t="n">
        <v>5</v>
      </c>
      <c r="K9" s="16" t="n">
        <v>6</v>
      </c>
      <c r="L9" s="16" t="n">
        <v>6</v>
      </c>
      <c r="M9" s="16" t="n">
        <v>5</v>
      </c>
      <c r="N9" s="16" t="n">
        <v>5</v>
      </c>
      <c r="O9" s="16" t="n">
        <v>5</v>
      </c>
      <c r="P9" s="16" t="n">
        <v>5</v>
      </c>
      <c r="Q9" s="16" t="n">
        <v>7</v>
      </c>
      <c r="R9" s="16" t="n">
        <v>2</v>
      </c>
      <c r="S9" s="16" t="n">
        <v>6</v>
      </c>
      <c r="T9" s="16" t="n">
        <v>7</v>
      </c>
      <c r="U9" s="16" t="n">
        <v>6</v>
      </c>
      <c r="V9" s="16" t="n">
        <v>6</v>
      </c>
      <c r="W9" s="16" t="n">
        <v>2</v>
      </c>
      <c r="X9" s="16" t="n">
        <v>8</v>
      </c>
      <c r="Y9" s="16" t="n">
        <v>0</v>
      </c>
      <c r="Z9" s="16" t="n">
        <v>5</v>
      </c>
      <c r="AA9" s="14" t="n">
        <v>5.105263158</v>
      </c>
    </row>
    <row r="10" customFormat="false" ht="14.25" hidden="false" customHeight="false" outlineLevel="0" collapsed="false">
      <c r="A10" s="12" t="n">
        <v>3</v>
      </c>
      <c r="B10" s="12" t="s">
        <v>11</v>
      </c>
      <c r="C10" s="12" t="n">
        <v>2</v>
      </c>
      <c r="D10" s="12" t="n">
        <v>1</v>
      </c>
      <c r="E10" s="13" t="n">
        <v>6</v>
      </c>
      <c r="F10" s="13" t="n">
        <v>6</v>
      </c>
      <c r="G10" s="13" t="n">
        <v>5</v>
      </c>
      <c r="H10" s="13" t="n">
        <v>6</v>
      </c>
      <c r="I10" s="13" t="n">
        <v>5</v>
      </c>
      <c r="J10" s="13" t="n">
        <v>6</v>
      </c>
      <c r="K10" s="13" t="n">
        <v>6</v>
      </c>
      <c r="L10" s="13" t="n">
        <v>4</v>
      </c>
      <c r="M10" s="13" t="n">
        <v>7</v>
      </c>
      <c r="N10" s="13" t="n">
        <v>6</v>
      </c>
      <c r="O10" s="13" t="n">
        <v>5</v>
      </c>
      <c r="P10" s="13" t="n">
        <v>6</v>
      </c>
      <c r="Q10" s="13" t="n">
        <v>6</v>
      </c>
      <c r="R10" s="13" t="n">
        <v>2</v>
      </c>
      <c r="S10" s="13" t="n">
        <v>6</v>
      </c>
      <c r="T10" s="13" t="n">
        <v>7</v>
      </c>
      <c r="U10" s="13" t="n">
        <v>3</v>
      </c>
      <c r="V10" s="13" t="n">
        <v>1</v>
      </c>
      <c r="W10" s="13" t="n">
        <v>7</v>
      </c>
      <c r="X10" s="13" t="n">
        <v>8</v>
      </c>
      <c r="Y10" s="13" t="n">
        <v>0</v>
      </c>
      <c r="Z10" s="13" t="n">
        <v>7</v>
      </c>
      <c r="AA10" s="14" t="n">
        <v>5.473684211</v>
      </c>
    </row>
    <row r="11" customFormat="false" ht="14.25" hidden="false" customHeight="false" outlineLevel="0" collapsed="false">
      <c r="A11" s="12" t="n">
        <v>3</v>
      </c>
      <c r="B11" s="12" t="s">
        <v>12</v>
      </c>
      <c r="C11" s="12" t="n">
        <v>2</v>
      </c>
      <c r="D11" s="12" t="n">
        <v>2</v>
      </c>
      <c r="E11" s="13" t="n">
        <v>7</v>
      </c>
      <c r="F11" s="13" t="n">
        <v>7</v>
      </c>
      <c r="G11" s="13" t="n">
        <v>7</v>
      </c>
      <c r="H11" s="13" t="n">
        <v>7</v>
      </c>
      <c r="I11" s="13" t="n">
        <v>6</v>
      </c>
      <c r="J11" s="13" t="n">
        <v>7</v>
      </c>
      <c r="K11" s="13" t="n">
        <v>5</v>
      </c>
      <c r="L11" s="13" t="n">
        <v>6</v>
      </c>
      <c r="M11" s="13" t="n">
        <v>6</v>
      </c>
      <c r="N11" s="13" t="n">
        <v>5</v>
      </c>
      <c r="O11" s="13" t="n">
        <v>5</v>
      </c>
      <c r="P11" s="13" t="n">
        <v>4</v>
      </c>
      <c r="Q11" s="13" t="n">
        <v>7</v>
      </c>
      <c r="R11" s="13" t="n">
        <v>2</v>
      </c>
      <c r="S11" s="13" t="n">
        <v>6</v>
      </c>
      <c r="T11" s="13" t="n">
        <v>7</v>
      </c>
      <c r="U11" s="13" t="n">
        <v>7</v>
      </c>
      <c r="V11" s="13" t="n">
        <v>1</v>
      </c>
      <c r="W11" s="13" t="n">
        <v>7</v>
      </c>
      <c r="X11" s="13" t="n">
        <v>8</v>
      </c>
      <c r="Y11" s="13" t="n">
        <v>0</v>
      </c>
      <c r="Z11" s="13" t="n">
        <v>7</v>
      </c>
      <c r="AA11" s="14" t="n">
        <v>5.947368421</v>
      </c>
    </row>
    <row r="12" customFormat="false" ht="14.25" hidden="false" customHeight="false" outlineLevel="0" collapsed="false">
      <c r="A12" s="12" t="n">
        <v>3</v>
      </c>
      <c r="B12" s="12" t="s">
        <v>13</v>
      </c>
      <c r="C12" s="12" t="n">
        <v>2</v>
      </c>
      <c r="D12" s="12" t="n">
        <v>4</v>
      </c>
      <c r="E12" s="13" t="n">
        <v>7</v>
      </c>
      <c r="F12" s="13" t="n">
        <v>7</v>
      </c>
      <c r="G12" s="13" t="n">
        <v>7</v>
      </c>
      <c r="H12" s="13" t="n">
        <v>7</v>
      </c>
      <c r="I12" s="13" t="n">
        <v>6</v>
      </c>
      <c r="J12" s="13" t="n">
        <v>7</v>
      </c>
      <c r="K12" s="13" t="n">
        <v>6</v>
      </c>
      <c r="L12" s="13" t="n">
        <v>4</v>
      </c>
      <c r="M12" s="13" t="n">
        <v>6</v>
      </c>
      <c r="N12" s="13" t="n">
        <v>7</v>
      </c>
      <c r="O12" s="13" t="n">
        <v>4</v>
      </c>
      <c r="P12" s="13" t="n">
        <v>4</v>
      </c>
      <c r="Q12" s="13" t="n">
        <v>7</v>
      </c>
      <c r="R12" s="13" t="n">
        <v>2</v>
      </c>
      <c r="S12" s="13" t="n">
        <v>6</v>
      </c>
      <c r="T12" s="13" t="n">
        <v>7</v>
      </c>
      <c r="U12" s="13" t="n">
        <v>7</v>
      </c>
      <c r="V12" s="13" t="n">
        <v>1</v>
      </c>
      <c r="W12" s="13" t="n">
        <v>7</v>
      </c>
      <c r="X12" s="13" t="n">
        <v>1</v>
      </c>
      <c r="Y12" s="13" t="n">
        <v>7</v>
      </c>
      <c r="Z12" s="13" t="n">
        <v>7</v>
      </c>
      <c r="AA12" s="14" t="n">
        <v>6.315789474</v>
      </c>
    </row>
    <row r="13" customFormat="false" ht="14.25" hidden="false" customHeight="false" outlineLevel="0" collapsed="false">
      <c r="A13" s="12" t="n">
        <v>3</v>
      </c>
      <c r="B13" s="12" t="s">
        <v>14</v>
      </c>
      <c r="C13" s="12" t="n">
        <v>2</v>
      </c>
      <c r="D13" s="12" t="n">
        <v>3</v>
      </c>
      <c r="E13" s="13" t="n">
        <v>7</v>
      </c>
      <c r="F13" s="13" t="n">
        <v>7</v>
      </c>
      <c r="G13" s="13" t="n">
        <v>7</v>
      </c>
      <c r="H13" s="13" t="n">
        <v>7</v>
      </c>
      <c r="I13" s="13" t="n">
        <v>7</v>
      </c>
      <c r="J13" s="13" t="n">
        <v>7</v>
      </c>
      <c r="K13" s="13" t="n">
        <v>6</v>
      </c>
      <c r="L13" s="13" t="n">
        <v>4</v>
      </c>
      <c r="M13" s="13" t="n">
        <v>6</v>
      </c>
      <c r="N13" s="13" t="n">
        <v>7</v>
      </c>
      <c r="O13" s="13" t="n">
        <v>4</v>
      </c>
      <c r="P13" s="13" t="n">
        <v>4</v>
      </c>
      <c r="Q13" s="13" t="n">
        <v>7</v>
      </c>
      <c r="R13" s="13" t="n">
        <v>2</v>
      </c>
      <c r="S13" s="13" t="n">
        <v>6</v>
      </c>
      <c r="T13" s="13" t="n">
        <v>7</v>
      </c>
      <c r="U13" s="13" t="n">
        <v>7</v>
      </c>
      <c r="V13" s="13" t="n">
        <v>1</v>
      </c>
      <c r="W13" s="13" t="n">
        <v>7</v>
      </c>
      <c r="X13" s="13" t="n">
        <v>5</v>
      </c>
      <c r="Y13" s="13" t="n">
        <v>3</v>
      </c>
      <c r="Z13" s="13" t="n">
        <v>6</v>
      </c>
      <c r="AA13" s="14" t="n">
        <v>6.105263158</v>
      </c>
    </row>
    <row r="14" customFormat="false" ht="14.25" hidden="false" customHeight="false" outlineLevel="0" collapsed="false">
      <c r="A14" s="17" t="n">
        <v>4</v>
      </c>
      <c r="B14" s="17" t="s">
        <v>11</v>
      </c>
      <c r="C14" s="17" t="n">
        <v>1</v>
      </c>
      <c r="D14" s="17" t="n">
        <v>1</v>
      </c>
      <c r="E14" s="18" t="n">
        <v>6</v>
      </c>
      <c r="F14" s="18" t="n">
        <v>7</v>
      </c>
      <c r="G14" s="18" t="n">
        <v>4</v>
      </c>
      <c r="H14" s="18" t="n">
        <v>5</v>
      </c>
      <c r="I14" s="18" t="n">
        <v>5</v>
      </c>
      <c r="J14" s="18" t="n">
        <v>7</v>
      </c>
      <c r="K14" s="18" t="n">
        <v>2</v>
      </c>
      <c r="L14" s="18" t="n">
        <v>6</v>
      </c>
      <c r="M14" s="18" t="n">
        <v>7</v>
      </c>
      <c r="N14" s="18" t="n">
        <v>4</v>
      </c>
      <c r="O14" s="18" t="n">
        <v>4</v>
      </c>
      <c r="P14" s="18" t="n">
        <v>6</v>
      </c>
      <c r="Q14" s="18" t="n">
        <v>2</v>
      </c>
      <c r="R14" s="18" t="n">
        <v>1</v>
      </c>
      <c r="S14" s="18" t="n">
        <v>7</v>
      </c>
      <c r="T14" s="18" t="n">
        <v>6</v>
      </c>
      <c r="U14" s="18" t="n">
        <v>6</v>
      </c>
      <c r="V14" s="18" t="n">
        <v>5</v>
      </c>
      <c r="W14" s="18" t="n">
        <v>3</v>
      </c>
      <c r="X14" s="18" t="n">
        <v>2</v>
      </c>
      <c r="Y14" s="18" t="n">
        <v>6</v>
      </c>
      <c r="Z14" s="18" t="n">
        <v>7</v>
      </c>
      <c r="AA14" s="14" t="n">
        <v>5.263157895</v>
      </c>
    </row>
    <row r="15" customFormat="false" ht="14.25" hidden="false" customHeight="false" outlineLevel="0" collapsed="false">
      <c r="A15" s="17" t="n">
        <v>4</v>
      </c>
      <c r="B15" s="17" t="s">
        <v>12</v>
      </c>
      <c r="C15" s="17" t="n">
        <v>1</v>
      </c>
      <c r="D15" s="17" t="n">
        <v>2</v>
      </c>
      <c r="E15" s="18" t="n">
        <v>6</v>
      </c>
      <c r="F15" s="18" t="n">
        <v>6</v>
      </c>
      <c r="G15" s="18" t="n">
        <v>3</v>
      </c>
      <c r="H15" s="18" t="n">
        <v>5</v>
      </c>
      <c r="I15" s="18" t="n">
        <v>4</v>
      </c>
      <c r="J15" s="18" t="n">
        <v>5</v>
      </c>
      <c r="K15" s="18" t="n">
        <v>3</v>
      </c>
      <c r="L15" s="18" t="n">
        <v>6</v>
      </c>
      <c r="M15" s="18" t="n">
        <v>7</v>
      </c>
      <c r="N15" s="18" t="n">
        <v>3</v>
      </c>
      <c r="O15" s="18" t="n">
        <v>4</v>
      </c>
      <c r="P15" s="18" t="n">
        <v>6</v>
      </c>
      <c r="Q15" s="18" t="n">
        <v>2</v>
      </c>
      <c r="R15" s="18" t="n">
        <v>1</v>
      </c>
      <c r="S15" s="18" t="n">
        <v>7</v>
      </c>
      <c r="T15" s="18" t="n">
        <v>6</v>
      </c>
      <c r="U15" s="18" t="n">
        <v>7</v>
      </c>
      <c r="V15" s="18" t="n">
        <v>2</v>
      </c>
      <c r="W15" s="18" t="n">
        <v>6</v>
      </c>
      <c r="X15" s="18" t="n">
        <v>8</v>
      </c>
      <c r="Y15" s="18" t="n">
        <v>0</v>
      </c>
      <c r="Z15" s="18" t="n">
        <v>6</v>
      </c>
      <c r="AA15" s="14" t="n">
        <v>4.842105263</v>
      </c>
    </row>
    <row r="16" customFormat="false" ht="14.25" hidden="false" customHeight="false" outlineLevel="0" collapsed="false">
      <c r="A16" s="17" t="n">
        <v>4</v>
      </c>
      <c r="B16" s="17" t="s">
        <v>13</v>
      </c>
      <c r="C16" s="17" t="n">
        <v>1</v>
      </c>
      <c r="D16" s="17" t="n">
        <v>3</v>
      </c>
      <c r="E16" s="18" t="n">
        <v>6</v>
      </c>
      <c r="F16" s="18" t="n">
        <v>6</v>
      </c>
      <c r="G16" s="18" t="n">
        <v>3</v>
      </c>
      <c r="H16" s="18" t="n">
        <v>5</v>
      </c>
      <c r="I16" s="18" t="n">
        <v>3</v>
      </c>
      <c r="J16" s="18" t="n">
        <v>6</v>
      </c>
      <c r="K16" s="18" t="n">
        <v>2</v>
      </c>
      <c r="L16" s="18" t="n">
        <v>4</v>
      </c>
      <c r="M16" s="18" t="n">
        <v>6</v>
      </c>
      <c r="N16" s="18" t="n">
        <v>3</v>
      </c>
      <c r="O16" s="18" t="n">
        <v>6</v>
      </c>
      <c r="P16" s="18" t="n">
        <v>6</v>
      </c>
      <c r="Q16" s="18" t="n">
        <v>5</v>
      </c>
      <c r="R16" s="18" t="n">
        <v>1</v>
      </c>
      <c r="S16" s="18" t="n">
        <v>7</v>
      </c>
      <c r="T16" s="18" t="n">
        <v>6</v>
      </c>
      <c r="U16" s="18" t="n">
        <v>7</v>
      </c>
      <c r="V16" s="18" t="n">
        <v>2</v>
      </c>
      <c r="W16" s="18" t="n">
        <v>6</v>
      </c>
      <c r="X16" s="18" t="n">
        <v>8</v>
      </c>
      <c r="Y16" s="18" t="n">
        <v>0</v>
      </c>
      <c r="Z16" s="18" t="n">
        <v>3</v>
      </c>
      <c r="AA16" s="14" t="n">
        <v>4.736842105</v>
      </c>
    </row>
    <row r="17" customFormat="false" ht="14.25" hidden="false" customHeight="false" outlineLevel="0" collapsed="false">
      <c r="A17" s="17" t="n">
        <v>4</v>
      </c>
      <c r="B17" s="17" t="s">
        <v>14</v>
      </c>
      <c r="C17" s="17" t="n">
        <v>1</v>
      </c>
      <c r="D17" s="17" t="n">
        <v>4</v>
      </c>
      <c r="E17" s="18" t="n">
        <v>7</v>
      </c>
      <c r="F17" s="18" t="n">
        <v>6</v>
      </c>
      <c r="G17" s="18" t="n">
        <v>4</v>
      </c>
      <c r="H17" s="18" t="n">
        <v>5</v>
      </c>
      <c r="I17" s="18" t="n">
        <v>5</v>
      </c>
      <c r="J17" s="18" t="n">
        <v>6</v>
      </c>
      <c r="K17" s="18" t="n">
        <v>3</v>
      </c>
      <c r="L17" s="18" t="n">
        <v>6</v>
      </c>
      <c r="M17" s="18" t="n">
        <v>6</v>
      </c>
      <c r="N17" s="18" t="n">
        <v>4</v>
      </c>
      <c r="O17" s="18" t="n">
        <v>6</v>
      </c>
      <c r="P17" s="18" t="n">
        <v>6</v>
      </c>
      <c r="Q17" s="18" t="n">
        <v>3</v>
      </c>
      <c r="R17" s="18" t="n">
        <v>1</v>
      </c>
      <c r="S17" s="18" t="n">
        <v>7</v>
      </c>
      <c r="T17" s="18" t="n">
        <v>6</v>
      </c>
      <c r="U17" s="18" t="n">
        <v>6</v>
      </c>
      <c r="V17" s="18" t="n">
        <v>4</v>
      </c>
      <c r="W17" s="18" t="n">
        <v>4</v>
      </c>
      <c r="X17" s="18" t="n">
        <v>5</v>
      </c>
      <c r="Y17" s="18" t="n">
        <v>3</v>
      </c>
      <c r="Z17" s="18" t="n">
        <v>4</v>
      </c>
      <c r="AA17" s="14" t="n">
        <v>5.105263158</v>
      </c>
    </row>
    <row r="18" customFormat="false" ht="14.25" hidden="false" customHeight="false" outlineLevel="0" collapsed="false">
      <c r="A18" s="17" t="n">
        <v>5</v>
      </c>
      <c r="B18" s="17" t="s">
        <v>11</v>
      </c>
      <c r="C18" s="17" t="n">
        <v>3</v>
      </c>
      <c r="D18" s="17" t="n">
        <v>3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8"/>
      <c r="T18" s="17"/>
      <c r="U18" s="17"/>
      <c r="V18" s="17"/>
      <c r="W18" s="18" t="n">
        <v>8</v>
      </c>
      <c r="X18" s="17"/>
      <c r="Y18" s="18" t="n">
        <v>8</v>
      </c>
      <c r="Z18" s="17"/>
      <c r="AA18" s="14" t="n">
        <v>8</v>
      </c>
    </row>
    <row r="19" customFormat="false" ht="14.25" hidden="false" customHeight="false" outlineLevel="0" collapsed="false">
      <c r="A19" s="17" t="n">
        <v>5</v>
      </c>
      <c r="B19" s="17" t="s">
        <v>12</v>
      </c>
      <c r="C19" s="17" t="n">
        <v>3</v>
      </c>
      <c r="D19" s="17" t="n">
        <v>4</v>
      </c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8"/>
      <c r="T19" s="17"/>
      <c r="U19" s="17"/>
      <c r="V19" s="17"/>
      <c r="W19" s="18" t="n">
        <v>8</v>
      </c>
      <c r="X19" s="17"/>
      <c r="Y19" s="18" t="n">
        <v>8</v>
      </c>
      <c r="Z19" s="17"/>
      <c r="AA19" s="14" t="n">
        <v>8</v>
      </c>
    </row>
    <row r="20" customFormat="false" ht="14.25" hidden="false" customHeight="false" outlineLevel="0" collapsed="false">
      <c r="A20" s="17" t="n">
        <v>5</v>
      </c>
      <c r="B20" s="17" t="s">
        <v>13</v>
      </c>
      <c r="C20" s="17" t="n">
        <v>3</v>
      </c>
      <c r="D20" s="17" t="n">
        <v>1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8"/>
      <c r="T20" s="17"/>
      <c r="U20" s="17"/>
      <c r="V20" s="17"/>
      <c r="W20" s="18" t="n">
        <v>8</v>
      </c>
      <c r="X20" s="17"/>
      <c r="Y20" s="18" t="n">
        <v>8</v>
      </c>
      <c r="Z20" s="17"/>
      <c r="AA20" s="14" t="n">
        <v>8</v>
      </c>
    </row>
    <row r="21" customFormat="false" ht="14.25" hidden="false" customHeight="false" outlineLevel="0" collapsed="false">
      <c r="A21" s="17" t="n">
        <v>5</v>
      </c>
      <c r="B21" s="17" t="s">
        <v>14</v>
      </c>
      <c r="C21" s="17" t="n">
        <v>3</v>
      </c>
      <c r="D21" s="17" t="n">
        <v>2</v>
      </c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8"/>
      <c r="T21" s="17"/>
      <c r="U21" s="17"/>
      <c r="V21" s="17"/>
      <c r="W21" s="18" t="n">
        <v>8</v>
      </c>
      <c r="X21" s="17"/>
      <c r="Y21" s="18" t="n">
        <v>8</v>
      </c>
      <c r="Z21" s="17"/>
      <c r="AA21" s="14" t="n">
        <v>8</v>
      </c>
    </row>
    <row r="22" customFormat="false" ht="14.25" hidden="false" customHeight="false" outlineLevel="0" collapsed="false">
      <c r="A22" s="15" t="n">
        <v>6</v>
      </c>
      <c r="B22" s="15" t="s">
        <v>11</v>
      </c>
      <c r="C22" s="15" t="n">
        <v>4</v>
      </c>
      <c r="D22" s="15" t="n">
        <v>4</v>
      </c>
      <c r="E22" s="19" t="n">
        <v>4</v>
      </c>
      <c r="F22" s="19" t="n">
        <v>4</v>
      </c>
      <c r="G22" s="19" t="n">
        <v>5</v>
      </c>
      <c r="H22" s="19" t="n">
        <v>3</v>
      </c>
      <c r="I22" s="19" t="n">
        <v>4</v>
      </c>
      <c r="J22" s="19" t="n">
        <v>4</v>
      </c>
      <c r="K22" s="19" t="n">
        <v>5</v>
      </c>
      <c r="L22" s="19" t="n">
        <v>6</v>
      </c>
      <c r="M22" s="19" t="n">
        <v>4</v>
      </c>
      <c r="N22" s="19" t="n">
        <v>2</v>
      </c>
      <c r="O22" s="19" t="n">
        <v>4</v>
      </c>
      <c r="P22" s="19" t="n">
        <v>4</v>
      </c>
      <c r="Q22" s="19" t="n">
        <v>4</v>
      </c>
      <c r="R22" s="19" t="n">
        <v>3</v>
      </c>
      <c r="S22" s="16" t="n">
        <v>5</v>
      </c>
      <c r="T22" s="16" t="n">
        <v>5</v>
      </c>
      <c r="U22" s="16" t="n">
        <v>6</v>
      </c>
      <c r="V22" s="16" t="n">
        <v>3</v>
      </c>
      <c r="W22" s="16" t="n">
        <v>5</v>
      </c>
      <c r="X22" s="16" t="n">
        <v>8</v>
      </c>
      <c r="Y22" s="16" t="n">
        <v>0</v>
      </c>
      <c r="Z22" s="19" t="n">
        <v>3</v>
      </c>
      <c r="AA22" s="14" t="n">
        <v>4.052631579</v>
      </c>
    </row>
    <row r="23" customFormat="false" ht="14.25" hidden="false" customHeight="false" outlineLevel="0" collapsed="false">
      <c r="A23" s="15" t="n">
        <v>6</v>
      </c>
      <c r="B23" s="15" t="s">
        <v>12</v>
      </c>
      <c r="C23" s="15" t="n">
        <v>4</v>
      </c>
      <c r="D23" s="15" t="n">
        <v>3</v>
      </c>
      <c r="E23" s="19" t="n">
        <v>4</v>
      </c>
      <c r="F23" s="19" t="n">
        <v>4</v>
      </c>
      <c r="G23" s="19" t="n">
        <v>5</v>
      </c>
      <c r="H23" s="19" t="n">
        <v>5</v>
      </c>
      <c r="I23" s="19" t="n">
        <v>4</v>
      </c>
      <c r="J23" s="19" t="n">
        <v>6</v>
      </c>
      <c r="K23" s="19" t="n">
        <v>5</v>
      </c>
      <c r="L23" s="19" t="n">
        <v>6</v>
      </c>
      <c r="M23" s="19" t="n">
        <v>4</v>
      </c>
      <c r="N23" s="19" t="n">
        <v>5</v>
      </c>
      <c r="O23" s="19" t="n">
        <v>6</v>
      </c>
      <c r="P23" s="19" t="n">
        <v>2</v>
      </c>
      <c r="Q23" s="19" t="n">
        <v>4</v>
      </c>
      <c r="R23" s="19" t="n">
        <v>2</v>
      </c>
      <c r="S23" s="16" t="n">
        <v>6</v>
      </c>
      <c r="T23" s="16" t="n">
        <v>5</v>
      </c>
      <c r="U23" s="16" t="n">
        <v>3</v>
      </c>
      <c r="V23" s="16" t="n">
        <v>1</v>
      </c>
      <c r="W23" s="16" t="n">
        <v>7</v>
      </c>
      <c r="X23" s="16" t="n">
        <v>2</v>
      </c>
      <c r="Y23" s="16" t="n">
        <v>6</v>
      </c>
      <c r="Z23" s="19" t="n">
        <v>3</v>
      </c>
      <c r="AA23" s="14" t="n">
        <v>4.736842105</v>
      </c>
    </row>
    <row r="24" customFormat="false" ht="14.25" hidden="false" customHeight="false" outlineLevel="0" collapsed="false">
      <c r="A24" s="15" t="n">
        <v>6</v>
      </c>
      <c r="B24" s="15" t="s">
        <v>13</v>
      </c>
      <c r="C24" s="15" t="n">
        <v>4</v>
      </c>
      <c r="D24" s="15" t="n">
        <v>2</v>
      </c>
      <c r="E24" s="19" t="n">
        <v>7</v>
      </c>
      <c r="F24" s="19" t="n">
        <v>6</v>
      </c>
      <c r="G24" s="19" t="n">
        <v>6</v>
      </c>
      <c r="H24" s="19" t="n">
        <v>5</v>
      </c>
      <c r="I24" s="19" t="n">
        <v>5</v>
      </c>
      <c r="J24" s="19" t="n">
        <v>4</v>
      </c>
      <c r="K24" s="19" t="n">
        <v>5</v>
      </c>
      <c r="L24" s="19" t="n">
        <v>6</v>
      </c>
      <c r="M24" s="19" t="n">
        <v>5</v>
      </c>
      <c r="N24" s="19" t="n">
        <v>3</v>
      </c>
      <c r="O24" s="19" t="n">
        <v>6</v>
      </c>
      <c r="P24" s="19" t="n">
        <v>2</v>
      </c>
      <c r="Q24" s="19" t="n">
        <v>5</v>
      </c>
      <c r="R24" s="19" t="n">
        <v>2</v>
      </c>
      <c r="S24" s="16" t="n">
        <v>6</v>
      </c>
      <c r="T24" s="16" t="n">
        <v>7</v>
      </c>
      <c r="U24" s="16" t="n">
        <v>7</v>
      </c>
      <c r="V24" s="16" t="n">
        <v>5</v>
      </c>
      <c r="W24" s="16" t="n">
        <v>3</v>
      </c>
      <c r="X24" s="16" t="n">
        <v>1</v>
      </c>
      <c r="Y24" s="16" t="n">
        <v>7</v>
      </c>
      <c r="Z24" s="19" t="n">
        <v>5</v>
      </c>
      <c r="AA24" s="14" t="n">
        <v>5.263157895</v>
      </c>
    </row>
    <row r="25" customFormat="false" ht="14.25" hidden="false" customHeight="false" outlineLevel="0" collapsed="false">
      <c r="A25" s="15" t="n">
        <v>6</v>
      </c>
      <c r="B25" s="15" t="s">
        <v>14</v>
      </c>
      <c r="C25" s="15" t="n">
        <v>4</v>
      </c>
      <c r="D25" s="15" t="n">
        <v>1</v>
      </c>
      <c r="E25" s="19" t="n">
        <v>6</v>
      </c>
      <c r="F25" s="19" t="n">
        <v>6</v>
      </c>
      <c r="G25" s="19" t="n">
        <v>7</v>
      </c>
      <c r="H25" s="19" t="n">
        <v>5</v>
      </c>
      <c r="I25" s="19" t="n">
        <v>6</v>
      </c>
      <c r="J25" s="19" t="n">
        <v>5</v>
      </c>
      <c r="K25" s="19" t="n">
        <v>4</v>
      </c>
      <c r="L25" s="19" t="n">
        <v>6</v>
      </c>
      <c r="M25" s="19" t="n">
        <v>7</v>
      </c>
      <c r="N25" s="19" t="n">
        <v>5</v>
      </c>
      <c r="O25" s="19" t="n">
        <v>6</v>
      </c>
      <c r="P25" s="19" t="n">
        <v>3</v>
      </c>
      <c r="Q25" s="19" t="n">
        <v>6</v>
      </c>
      <c r="R25" s="19" t="n">
        <v>2</v>
      </c>
      <c r="S25" s="16" t="n">
        <v>6</v>
      </c>
      <c r="T25" s="16" t="n">
        <v>6</v>
      </c>
      <c r="U25" s="16" t="n">
        <v>6</v>
      </c>
      <c r="V25" s="16" t="n">
        <v>2</v>
      </c>
      <c r="W25" s="16" t="n">
        <v>6</v>
      </c>
      <c r="X25" s="16" t="n">
        <v>8</v>
      </c>
      <c r="Y25" s="16" t="n">
        <v>0</v>
      </c>
      <c r="Z25" s="19" t="n">
        <v>6</v>
      </c>
      <c r="AA25" s="14" t="n">
        <v>5.368421053</v>
      </c>
    </row>
    <row r="26" customFormat="false" ht="14.25" hidden="false" customHeight="false" outlineLevel="0" collapsed="false">
      <c r="A26" s="12" t="n">
        <v>7</v>
      </c>
      <c r="B26" s="12" t="s">
        <v>11</v>
      </c>
      <c r="C26" s="12" t="n">
        <v>1</v>
      </c>
      <c r="D26" s="12" t="n">
        <v>1</v>
      </c>
      <c r="E26" s="13" t="n">
        <v>7</v>
      </c>
      <c r="F26" s="13" t="n">
        <v>6</v>
      </c>
      <c r="G26" s="13" t="n">
        <v>7</v>
      </c>
      <c r="H26" s="13" t="n">
        <v>7</v>
      </c>
      <c r="I26" s="13" t="n">
        <v>7</v>
      </c>
      <c r="J26" s="13" t="n">
        <v>7</v>
      </c>
      <c r="K26" s="13" t="n">
        <v>6</v>
      </c>
      <c r="L26" s="13" t="n">
        <v>7</v>
      </c>
      <c r="M26" s="13" t="n">
        <v>7</v>
      </c>
      <c r="N26" s="13" t="n">
        <v>5</v>
      </c>
      <c r="O26" s="13" t="n">
        <v>7</v>
      </c>
      <c r="P26" s="13" t="n">
        <v>7</v>
      </c>
      <c r="Q26" s="13" t="n">
        <v>7</v>
      </c>
      <c r="R26" s="13" t="n">
        <v>1</v>
      </c>
      <c r="S26" s="13" t="n">
        <v>7</v>
      </c>
      <c r="T26" s="13" t="n">
        <v>6</v>
      </c>
      <c r="U26" s="13" t="n">
        <v>7</v>
      </c>
      <c r="V26" s="13" t="n">
        <v>1</v>
      </c>
      <c r="W26" s="13" t="n">
        <v>7</v>
      </c>
      <c r="X26" s="13" t="n">
        <v>8</v>
      </c>
      <c r="Y26" s="13" t="n">
        <v>0</v>
      </c>
      <c r="Z26" s="13" t="n">
        <v>7</v>
      </c>
      <c r="AA26" s="14" t="n">
        <v>6.368421053</v>
      </c>
    </row>
    <row r="27" customFormat="false" ht="14.25" hidden="false" customHeight="false" outlineLevel="0" collapsed="false">
      <c r="A27" s="12" t="n">
        <v>7</v>
      </c>
      <c r="B27" s="12" t="s">
        <v>12</v>
      </c>
      <c r="C27" s="12" t="n">
        <v>1</v>
      </c>
      <c r="D27" s="12" t="n">
        <v>2</v>
      </c>
      <c r="E27" s="13" t="n">
        <v>7</v>
      </c>
      <c r="F27" s="13" t="n">
        <v>7</v>
      </c>
      <c r="G27" s="13" t="n">
        <v>7</v>
      </c>
      <c r="H27" s="13" t="n">
        <v>7</v>
      </c>
      <c r="I27" s="13" t="n">
        <v>7</v>
      </c>
      <c r="J27" s="13" t="n">
        <v>7</v>
      </c>
      <c r="K27" s="13" t="n">
        <v>5</v>
      </c>
      <c r="L27" s="13" t="n">
        <v>7</v>
      </c>
      <c r="M27" s="13" t="n">
        <v>7</v>
      </c>
      <c r="N27" s="13" t="n">
        <v>7</v>
      </c>
      <c r="O27" s="13" t="n">
        <v>7</v>
      </c>
      <c r="P27" s="13" t="n">
        <v>7</v>
      </c>
      <c r="Q27" s="13" t="n">
        <v>5</v>
      </c>
      <c r="R27" s="13" t="n">
        <v>7</v>
      </c>
      <c r="S27" s="13" t="n">
        <v>1</v>
      </c>
      <c r="T27" s="13" t="n">
        <v>7</v>
      </c>
      <c r="U27" s="13" t="n">
        <v>7</v>
      </c>
      <c r="V27" s="13" t="n">
        <v>1</v>
      </c>
      <c r="W27" s="13" t="n">
        <v>7</v>
      </c>
      <c r="X27" s="13" t="n">
        <v>2</v>
      </c>
      <c r="Y27" s="13" t="n">
        <v>6</v>
      </c>
      <c r="Z27" s="13" t="n">
        <v>6</v>
      </c>
      <c r="AA27" s="14" t="n">
        <v>6.368421053</v>
      </c>
    </row>
    <row r="28" customFormat="false" ht="14.25" hidden="false" customHeight="false" outlineLevel="0" collapsed="false">
      <c r="A28" s="12" t="n">
        <v>7</v>
      </c>
      <c r="B28" s="12" t="s">
        <v>13</v>
      </c>
      <c r="C28" s="12" t="n">
        <v>1</v>
      </c>
      <c r="D28" s="12" t="n">
        <v>3</v>
      </c>
      <c r="E28" s="13" t="n">
        <v>7</v>
      </c>
      <c r="F28" s="13" t="n">
        <v>7</v>
      </c>
      <c r="G28" s="13" t="n">
        <v>7</v>
      </c>
      <c r="H28" s="13" t="n">
        <v>7</v>
      </c>
      <c r="I28" s="13" t="n">
        <v>7</v>
      </c>
      <c r="J28" s="13" t="n">
        <v>7</v>
      </c>
      <c r="K28" s="13" t="n">
        <v>7</v>
      </c>
      <c r="L28" s="13" t="n">
        <v>7</v>
      </c>
      <c r="M28" s="13" t="n">
        <v>7</v>
      </c>
      <c r="N28" s="13" t="n">
        <v>7</v>
      </c>
      <c r="O28" s="13" t="n">
        <v>7</v>
      </c>
      <c r="P28" s="13" t="n">
        <v>7</v>
      </c>
      <c r="Q28" s="13" t="n">
        <v>7</v>
      </c>
      <c r="R28" s="13" t="n">
        <v>1</v>
      </c>
      <c r="S28" s="13" t="n">
        <v>7</v>
      </c>
      <c r="T28" s="13" t="n">
        <v>7</v>
      </c>
      <c r="U28" s="13" t="n">
        <v>7</v>
      </c>
      <c r="V28" s="13" t="n">
        <v>1</v>
      </c>
      <c r="W28" s="13" t="n">
        <v>7</v>
      </c>
      <c r="X28" s="13" t="n">
        <v>1</v>
      </c>
      <c r="Y28" s="13" t="n">
        <v>7</v>
      </c>
      <c r="Z28" s="13" t="n">
        <v>7</v>
      </c>
      <c r="AA28" s="14" t="n">
        <v>7</v>
      </c>
    </row>
    <row r="29" customFormat="false" ht="14.25" hidden="false" customHeight="false" outlineLevel="0" collapsed="false">
      <c r="A29" s="12" t="n">
        <v>7</v>
      </c>
      <c r="B29" s="12" t="s">
        <v>14</v>
      </c>
      <c r="C29" s="12" t="n">
        <v>1</v>
      </c>
      <c r="D29" s="12" t="n">
        <v>4</v>
      </c>
      <c r="E29" s="13" t="n">
        <v>7</v>
      </c>
      <c r="F29" s="13" t="n">
        <v>7</v>
      </c>
      <c r="G29" s="13" t="n">
        <v>7</v>
      </c>
      <c r="H29" s="13" t="n">
        <v>7</v>
      </c>
      <c r="I29" s="13" t="n">
        <v>7</v>
      </c>
      <c r="J29" s="13" t="n">
        <v>7</v>
      </c>
      <c r="K29" s="13" t="n">
        <v>7</v>
      </c>
      <c r="L29" s="13" t="n">
        <v>7</v>
      </c>
      <c r="M29" s="13" t="n">
        <v>7</v>
      </c>
      <c r="N29" s="13" t="n">
        <v>7</v>
      </c>
      <c r="O29" s="13" t="n">
        <v>7</v>
      </c>
      <c r="P29" s="13" t="n">
        <v>7</v>
      </c>
      <c r="Q29" s="13" t="n">
        <v>7</v>
      </c>
      <c r="R29" s="13" t="n">
        <v>2</v>
      </c>
      <c r="S29" s="13" t="n">
        <v>6</v>
      </c>
      <c r="T29" s="13" t="n">
        <v>7</v>
      </c>
      <c r="U29" s="13" t="n">
        <v>7</v>
      </c>
      <c r="V29" s="13" t="n">
        <v>7</v>
      </c>
      <c r="W29" s="13" t="n">
        <v>1</v>
      </c>
      <c r="X29" s="13" t="n">
        <v>8</v>
      </c>
      <c r="Y29" s="13" t="n">
        <v>0</v>
      </c>
      <c r="Z29" s="13" t="n">
        <v>7</v>
      </c>
      <c r="AA29" s="14" t="n">
        <v>6.263157895</v>
      </c>
    </row>
    <row r="30" customFormat="false" ht="14.25" hidden="false" customHeight="false" outlineLevel="0" collapsed="false">
      <c r="A30" s="15" t="n">
        <v>8</v>
      </c>
      <c r="B30" s="15" t="s">
        <v>11</v>
      </c>
      <c r="C30" s="15" t="n">
        <v>4</v>
      </c>
      <c r="D30" s="15" t="n">
        <v>4</v>
      </c>
      <c r="E30" s="19" t="n">
        <v>6</v>
      </c>
      <c r="F30" s="19" t="n">
        <v>7</v>
      </c>
      <c r="G30" s="19" t="n">
        <v>7</v>
      </c>
      <c r="H30" s="19" t="n">
        <v>6</v>
      </c>
      <c r="I30" s="19" t="n">
        <v>6</v>
      </c>
      <c r="J30" s="19" t="n">
        <v>7</v>
      </c>
      <c r="K30" s="19" t="n">
        <v>6</v>
      </c>
      <c r="L30" s="19" t="n">
        <v>6</v>
      </c>
      <c r="M30" s="19" t="n">
        <v>7</v>
      </c>
      <c r="N30" s="19" t="n">
        <v>4</v>
      </c>
      <c r="O30" s="19" t="n">
        <v>5</v>
      </c>
      <c r="P30" s="19" t="n">
        <v>5</v>
      </c>
      <c r="Q30" s="19" t="n">
        <v>7</v>
      </c>
      <c r="R30" s="19" t="n">
        <v>1</v>
      </c>
      <c r="S30" s="16" t="n">
        <v>7</v>
      </c>
      <c r="T30" s="16" t="n">
        <v>7</v>
      </c>
      <c r="U30" s="16" t="n">
        <v>6</v>
      </c>
      <c r="V30" s="16" t="n">
        <v>1</v>
      </c>
      <c r="W30" s="16" t="n">
        <v>7</v>
      </c>
      <c r="X30" s="16" t="n">
        <v>1</v>
      </c>
      <c r="Y30" s="16" t="n">
        <v>7</v>
      </c>
      <c r="Z30" s="19" t="n">
        <v>6</v>
      </c>
      <c r="AA30" s="14" t="n">
        <v>6.263157895</v>
      </c>
    </row>
    <row r="31" customFormat="false" ht="14.25" hidden="false" customHeight="false" outlineLevel="0" collapsed="false">
      <c r="A31" s="15" t="n">
        <v>8</v>
      </c>
      <c r="B31" s="15" t="s">
        <v>12</v>
      </c>
      <c r="C31" s="15" t="n">
        <v>4</v>
      </c>
      <c r="D31" s="15" t="n">
        <v>3</v>
      </c>
      <c r="E31" s="19" t="n">
        <v>6</v>
      </c>
      <c r="F31" s="19" t="n">
        <v>6</v>
      </c>
      <c r="G31" s="19" t="n">
        <v>6</v>
      </c>
      <c r="H31" s="19" t="n">
        <v>7</v>
      </c>
      <c r="I31" s="19" t="n">
        <v>6</v>
      </c>
      <c r="J31" s="19" t="n">
        <v>7</v>
      </c>
      <c r="K31" s="19" t="n">
        <v>7</v>
      </c>
      <c r="L31" s="19" t="n">
        <v>6</v>
      </c>
      <c r="M31" s="19" t="n">
        <v>7</v>
      </c>
      <c r="N31" s="19" t="n">
        <v>4</v>
      </c>
      <c r="O31" s="19" t="n">
        <v>6</v>
      </c>
      <c r="P31" s="19" t="n">
        <v>4</v>
      </c>
      <c r="Q31" s="19" t="n">
        <v>7</v>
      </c>
      <c r="R31" s="19" t="n">
        <v>1</v>
      </c>
      <c r="S31" s="16" t="n">
        <v>7</v>
      </c>
      <c r="T31" s="16" t="n">
        <v>7</v>
      </c>
      <c r="U31" s="16" t="n">
        <v>5</v>
      </c>
      <c r="V31" s="16" t="n">
        <v>1</v>
      </c>
      <c r="W31" s="16" t="n">
        <v>7</v>
      </c>
      <c r="X31" s="16" t="n">
        <v>2</v>
      </c>
      <c r="Y31" s="16" t="n">
        <v>6</v>
      </c>
      <c r="Z31" s="19" t="n">
        <v>6</v>
      </c>
      <c r="AA31" s="14" t="n">
        <v>6.157894737</v>
      </c>
    </row>
    <row r="32" customFormat="false" ht="14.25" hidden="false" customHeight="false" outlineLevel="0" collapsed="false">
      <c r="A32" s="15" t="n">
        <v>8</v>
      </c>
      <c r="B32" s="15" t="s">
        <v>13</v>
      </c>
      <c r="C32" s="15" t="n">
        <v>4</v>
      </c>
      <c r="D32" s="15" t="n">
        <v>2</v>
      </c>
      <c r="E32" s="19" t="n">
        <v>6</v>
      </c>
      <c r="F32" s="19" t="n">
        <v>6</v>
      </c>
      <c r="G32" s="19" t="n">
        <v>7</v>
      </c>
      <c r="H32" s="19" t="n">
        <v>6</v>
      </c>
      <c r="I32" s="19" t="n">
        <v>7</v>
      </c>
      <c r="J32" s="19" t="n">
        <v>6</v>
      </c>
      <c r="K32" s="19" t="n">
        <v>7</v>
      </c>
      <c r="L32" s="19" t="n">
        <v>6</v>
      </c>
      <c r="M32" s="19" t="n">
        <v>6</v>
      </c>
      <c r="N32" s="19" t="n">
        <v>4</v>
      </c>
      <c r="O32" s="19" t="n">
        <v>6</v>
      </c>
      <c r="P32" s="19" t="n">
        <v>4</v>
      </c>
      <c r="Q32" s="19" t="n">
        <v>6</v>
      </c>
      <c r="R32" s="19" t="n">
        <v>1</v>
      </c>
      <c r="S32" s="16" t="n">
        <v>7</v>
      </c>
      <c r="T32" s="16" t="n">
        <v>7</v>
      </c>
      <c r="U32" s="16" t="n">
        <v>6</v>
      </c>
      <c r="V32" s="16" t="n">
        <v>1</v>
      </c>
      <c r="W32" s="16" t="n">
        <v>7</v>
      </c>
      <c r="X32" s="16" t="n">
        <v>1</v>
      </c>
      <c r="Y32" s="16" t="n">
        <v>7</v>
      </c>
      <c r="Z32" s="19" t="n">
        <v>6</v>
      </c>
      <c r="AA32" s="14" t="n">
        <v>6.157894737</v>
      </c>
    </row>
    <row r="33" customFormat="false" ht="14.25" hidden="false" customHeight="false" outlineLevel="0" collapsed="false">
      <c r="A33" s="15" t="n">
        <v>8</v>
      </c>
      <c r="B33" s="15" t="s">
        <v>14</v>
      </c>
      <c r="C33" s="15" t="n">
        <v>4</v>
      </c>
      <c r="D33" s="15" t="n">
        <v>1</v>
      </c>
      <c r="E33" s="19" t="n">
        <v>5</v>
      </c>
      <c r="F33" s="19" t="n">
        <v>6</v>
      </c>
      <c r="G33" s="19" t="n">
        <v>6</v>
      </c>
      <c r="H33" s="19" t="n">
        <v>6</v>
      </c>
      <c r="I33" s="19" t="n">
        <v>7</v>
      </c>
      <c r="J33" s="19" t="n">
        <v>5</v>
      </c>
      <c r="K33" s="19" t="n">
        <v>7</v>
      </c>
      <c r="L33" s="19" t="n">
        <v>5</v>
      </c>
      <c r="M33" s="19" t="n">
        <v>6</v>
      </c>
      <c r="N33" s="19" t="n">
        <v>4</v>
      </c>
      <c r="O33" s="19" t="n">
        <v>6</v>
      </c>
      <c r="P33" s="19" t="n">
        <v>4</v>
      </c>
      <c r="Q33" s="19" t="n">
        <v>6</v>
      </c>
      <c r="R33" s="19" t="n">
        <v>1</v>
      </c>
      <c r="S33" s="16" t="n">
        <v>7</v>
      </c>
      <c r="T33" s="16" t="n">
        <v>6</v>
      </c>
      <c r="U33" s="16" t="n">
        <v>5</v>
      </c>
      <c r="V33" s="16" t="n">
        <v>1</v>
      </c>
      <c r="W33" s="16" t="n">
        <v>7</v>
      </c>
      <c r="X33" s="16" t="n">
        <v>8</v>
      </c>
      <c r="Y33" s="16" t="n">
        <v>0</v>
      </c>
      <c r="Z33" s="19" t="n">
        <v>7</v>
      </c>
      <c r="AA33" s="14" t="n">
        <v>5.526315789</v>
      </c>
    </row>
    <row r="34" customFormat="false" ht="14.25" hidden="false" customHeight="false" outlineLevel="0" collapsed="false">
      <c r="A34" s="12" t="n">
        <v>9</v>
      </c>
      <c r="B34" s="12" t="s">
        <v>11</v>
      </c>
      <c r="C34" s="12" t="n">
        <v>2</v>
      </c>
      <c r="D34" s="12" t="n">
        <v>2</v>
      </c>
      <c r="E34" s="13" t="n">
        <v>5</v>
      </c>
      <c r="F34" s="13" t="n">
        <v>7</v>
      </c>
      <c r="G34" s="13" t="n">
        <v>6</v>
      </c>
      <c r="H34" s="13" t="n">
        <v>7</v>
      </c>
      <c r="I34" s="13" t="n">
        <v>7</v>
      </c>
      <c r="J34" s="13" t="n">
        <v>7</v>
      </c>
      <c r="K34" s="13" t="n">
        <v>6</v>
      </c>
      <c r="L34" s="13" t="n">
        <v>5</v>
      </c>
      <c r="M34" s="13" t="n">
        <v>6</v>
      </c>
      <c r="N34" s="13" t="n">
        <v>5</v>
      </c>
      <c r="O34" s="13" t="n">
        <v>6</v>
      </c>
      <c r="P34" s="13" t="n">
        <v>6</v>
      </c>
      <c r="Q34" s="13" t="n">
        <v>6</v>
      </c>
      <c r="R34" s="13" t="n">
        <v>1</v>
      </c>
      <c r="S34" s="13" t="n">
        <v>7</v>
      </c>
      <c r="T34" s="13" t="n">
        <v>6</v>
      </c>
      <c r="U34" s="13" t="n">
        <v>6</v>
      </c>
      <c r="V34" s="13" t="n">
        <v>1</v>
      </c>
      <c r="W34" s="13" t="n">
        <v>7</v>
      </c>
      <c r="X34" s="13" t="n">
        <v>1</v>
      </c>
      <c r="Y34" s="13" t="n">
        <v>7</v>
      </c>
      <c r="Z34" s="13" t="n">
        <v>6</v>
      </c>
      <c r="AA34" s="14" t="n">
        <v>6.210526316</v>
      </c>
    </row>
    <row r="35" customFormat="false" ht="14.25" hidden="false" customHeight="false" outlineLevel="0" collapsed="false">
      <c r="A35" s="12" t="n">
        <v>9</v>
      </c>
      <c r="B35" s="12" t="s">
        <v>12</v>
      </c>
      <c r="C35" s="12" t="n">
        <v>2</v>
      </c>
      <c r="D35" s="12" t="n">
        <v>1</v>
      </c>
      <c r="E35" s="13" t="n">
        <v>7</v>
      </c>
      <c r="F35" s="13" t="n">
        <v>7</v>
      </c>
      <c r="G35" s="13" t="n">
        <v>7</v>
      </c>
      <c r="H35" s="13" t="n">
        <v>6</v>
      </c>
      <c r="I35" s="13" t="n">
        <v>6</v>
      </c>
      <c r="J35" s="13" t="n">
        <v>7</v>
      </c>
      <c r="K35" s="13" t="n">
        <v>6</v>
      </c>
      <c r="L35" s="13" t="n">
        <v>7</v>
      </c>
      <c r="M35" s="13" t="n">
        <v>7</v>
      </c>
      <c r="N35" s="13" t="n">
        <v>6</v>
      </c>
      <c r="O35" s="13" t="n">
        <v>6</v>
      </c>
      <c r="P35" s="13" t="n">
        <v>5</v>
      </c>
      <c r="Q35" s="13" t="n">
        <v>5</v>
      </c>
      <c r="R35" s="13" t="n">
        <v>1</v>
      </c>
      <c r="S35" s="13" t="n">
        <v>7</v>
      </c>
      <c r="T35" s="13" t="n">
        <v>6</v>
      </c>
      <c r="U35" s="13" t="n">
        <v>7</v>
      </c>
      <c r="V35" s="13" t="n">
        <v>2</v>
      </c>
      <c r="W35" s="13" t="n">
        <v>6</v>
      </c>
      <c r="X35" s="13" t="n">
        <v>1</v>
      </c>
      <c r="Y35" s="13" t="n">
        <v>7</v>
      </c>
      <c r="Z35" s="13" t="n">
        <v>6</v>
      </c>
      <c r="AA35" s="14" t="n">
        <v>6.368421053</v>
      </c>
    </row>
    <row r="36" customFormat="false" ht="14.25" hidden="false" customHeight="false" outlineLevel="0" collapsed="false">
      <c r="A36" s="12" t="n">
        <v>9</v>
      </c>
      <c r="B36" s="12" t="s">
        <v>13</v>
      </c>
      <c r="C36" s="12" t="n">
        <v>2</v>
      </c>
      <c r="D36" s="12" t="n">
        <v>4</v>
      </c>
      <c r="E36" s="13" t="n">
        <v>7</v>
      </c>
      <c r="F36" s="13" t="n">
        <v>7</v>
      </c>
      <c r="G36" s="13" t="n">
        <v>7</v>
      </c>
      <c r="H36" s="13" t="n">
        <v>7</v>
      </c>
      <c r="I36" s="13" t="n">
        <v>6</v>
      </c>
      <c r="J36" s="13" t="n">
        <v>7</v>
      </c>
      <c r="K36" s="13" t="n">
        <v>7</v>
      </c>
      <c r="L36" s="13" t="n">
        <v>6</v>
      </c>
      <c r="M36" s="13" t="n">
        <v>6</v>
      </c>
      <c r="N36" s="13" t="n">
        <v>7</v>
      </c>
      <c r="O36" s="13" t="n">
        <v>7</v>
      </c>
      <c r="P36" s="13" t="n">
        <v>6</v>
      </c>
      <c r="Q36" s="13" t="n">
        <v>7</v>
      </c>
      <c r="R36" s="13" t="n">
        <v>1</v>
      </c>
      <c r="S36" s="13" t="n">
        <v>7</v>
      </c>
      <c r="T36" s="13" t="n">
        <v>7</v>
      </c>
      <c r="U36" s="13" t="n">
        <v>7</v>
      </c>
      <c r="V36" s="13" t="n">
        <v>3</v>
      </c>
      <c r="W36" s="13" t="n">
        <v>5</v>
      </c>
      <c r="X36" s="13" t="n">
        <v>2</v>
      </c>
      <c r="Y36" s="13" t="n">
        <v>6</v>
      </c>
      <c r="Z36" s="13" t="n">
        <v>6</v>
      </c>
      <c r="AA36" s="14" t="n">
        <v>6.578947368</v>
      </c>
    </row>
    <row r="37" customFormat="false" ht="14.25" hidden="false" customHeight="false" outlineLevel="0" collapsed="false">
      <c r="A37" s="12" t="n">
        <v>9</v>
      </c>
      <c r="B37" s="12" t="s">
        <v>14</v>
      </c>
      <c r="C37" s="12" t="n">
        <v>2</v>
      </c>
      <c r="D37" s="12" t="n">
        <v>3</v>
      </c>
      <c r="E37" s="13" t="n">
        <v>7</v>
      </c>
      <c r="F37" s="13" t="n">
        <v>7</v>
      </c>
      <c r="G37" s="13" t="n">
        <v>6</v>
      </c>
      <c r="H37" s="13" t="n">
        <v>7</v>
      </c>
      <c r="I37" s="13" t="n">
        <v>7</v>
      </c>
      <c r="J37" s="13" t="n">
        <v>7</v>
      </c>
      <c r="K37" s="13" t="n">
        <v>6</v>
      </c>
      <c r="L37" s="13" t="n">
        <v>5</v>
      </c>
      <c r="M37" s="13" t="n">
        <v>6</v>
      </c>
      <c r="N37" s="13" t="n">
        <v>5</v>
      </c>
      <c r="O37" s="13" t="n">
        <v>7</v>
      </c>
      <c r="P37" s="13" t="n">
        <v>6</v>
      </c>
      <c r="Q37" s="13" t="n">
        <v>6</v>
      </c>
      <c r="R37" s="13" t="n">
        <v>1</v>
      </c>
      <c r="S37" s="13" t="n">
        <v>7</v>
      </c>
      <c r="T37" s="13" t="n">
        <v>7</v>
      </c>
      <c r="U37" s="13" t="n">
        <v>6</v>
      </c>
      <c r="V37" s="13" t="n">
        <v>3</v>
      </c>
      <c r="W37" s="13" t="n">
        <v>5</v>
      </c>
      <c r="X37" s="13" t="n">
        <v>2</v>
      </c>
      <c r="Y37" s="13" t="n">
        <v>6</v>
      </c>
      <c r="Z37" s="13" t="n">
        <v>6</v>
      </c>
      <c r="AA37" s="14" t="n">
        <v>6.263157895</v>
      </c>
    </row>
    <row r="38" customFormat="false" ht="14.25" hidden="false" customHeight="false" outlineLevel="0" collapsed="false">
      <c r="A38" s="15" t="n">
        <v>10</v>
      </c>
      <c r="B38" s="15" t="s">
        <v>11</v>
      </c>
      <c r="C38" s="15" t="n">
        <v>4</v>
      </c>
      <c r="D38" s="15" t="n">
        <v>4</v>
      </c>
      <c r="E38" s="19" t="n">
        <v>7</v>
      </c>
      <c r="F38" s="19" t="n">
        <v>4</v>
      </c>
      <c r="G38" s="19" t="n">
        <v>3</v>
      </c>
      <c r="H38" s="19" t="n">
        <v>4</v>
      </c>
      <c r="I38" s="19" t="n">
        <v>5</v>
      </c>
      <c r="J38" s="19" t="n">
        <v>4</v>
      </c>
      <c r="K38" s="19" t="n">
        <v>3</v>
      </c>
      <c r="L38" s="19" t="n">
        <v>7</v>
      </c>
      <c r="M38" s="19" t="n">
        <v>6</v>
      </c>
      <c r="N38" s="19" t="n">
        <v>4</v>
      </c>
      <c r="O38" s="19" t="n">
        <v>4</v>
      </c>
      <c r="P38" s="19" t="n">
        <v>4</v>
      </c>
      <c r="Q38" s="19" t="n">
        <v>4</v>
      </c>
      <c r="R38" s="19" t="n">
        <v>2</v>
      </c>
      <c r="S38" s="16" t="n">
        <v>6</v>
      </c>
      <c r="T38" s="16" t="n">
        <v>7</v>
      </c>
      <c r="U38" s="16" t="n">
        <v>7</v>
      </c>
      <c r="V38" s="16" t="n">
        <v>1</v>
      </c>
      <c r="W38" s="16" t="n">
        <v>7</v>
      </c>
      <c r="X38" s="16" t="n">
        <v>1</v>
      </c>
      <c r="Y38" s="16" t="n">
        <v>7</v>
      </c>
      <c r="Z38" s="19" t="n">
        <v>7</v>
      </c>
      <c r="AA38" s="14" t="n">
        <v>5.263157895</v>
      </c>
    </row>
    <row r="39" customFormat="false" ht="14.25" hidden="false" customHeight="false" outlineLevel="0" collapsed="false">
      <c r="A39" s="15" t="n">
        <v>10</v>
      </c>
      <c r="B39" s="15" t="s">
        <v>12</v>
      </c>
      <c r="C39" s="15" t="n">
        <v>4</v>
      </c>
      <c r="D39" s="15" t="n">
        <v>3</v>
      </c>
      <c r="E39" s="19" t="n">
        <v>7</v>
      </c>
      <c r="F39" s="19" t="n">
        <v>7</v>
      </c>
      <c r="G39" s="19" t="n">
        <v>3</v>
      </c>
      <c r="H39" s="19" t="n">
        <v>3</v>
      </c>
      <c r="I39" s="19" t="n">
        <v>5</v>
      </c>
      <c r="J39" s="19" t="n">
        <v>4</v>
      </c>
      <c r="K39" s="19" t="n">
        <v>3</v>
      </c>
      <c r="L39" s="19" t="n">
        <v>7</v>
      </c>
      <c r="M39" s="19" t="n">
        <v>5</v>
      </c>
      <c r="N39" s="19" t="n">
        <v>4</v>
      </c>
      <c r="O39" s="19" t="n">
        <v>4</v>
      </c>
      <c r="P39" s="19" t="n">
        <v>4</v>
      </c>
      <c r="Q39" s="19" t="n">
        <v>4</v>
      </c>
      <c r="R39" s="19" t="n">
        <v>1</v>
      </c>
      <c r="S39" s="16" t="n">
        <v>7</v>
      </c>
      <c r="T39" s="16" t="n">
        <v>7</v>
      </c>
      <c r="U39" s="16" t="n">
        <v>7</v>
      </c>
      <c r="V39" s="16" t="n">
        <v>1</v>
      </c>
      <c r="W39" s="16" t="n">
        <v>7</v>
      </c>
      <c r="X39" s="16" t="n">
        <v>1</v>
      </c>
      <c r="Y39" s="16" t="n">
        <v>7</v>
      </c>
      <c r="Z39" s="19" t="n">
        <v>7</v>
      </c>
      <c r="AA39" s="14" t="n">
        <v>5.368421053</v>
      </c>
    </row>
    <row r="40" customFormat="false" ht="14.25" hidden="false" customHeight="false" outlineLevel="0" collapsed="false">
      <c r="A40" s="15" t="n">
        <v>10</v>
      </c>
      <c r="B40" s="15" t="s">
        <v>13</v>
      </c>
      <c r="C40" s="15" t="n">
        <v>4</v>
      </c>
      <c r="D40" s="15" t="n">
        <v>2</v>
      </c>
      <c r="E40" s="19" t="n">
        <v>7</v>
      </c>
      <c r="F40" s="19" t="n">
        <v>7</v>
      </c>
      <c r="G40" s="19" t="n">
        <v>3</v>
      </c>
      <c r="H40" s="19" t="n">
        <v>3</v>
      </c>
      <c r="I40" s="19" t="n">
        <v>6</v>
      </c>
      <c r="J40" s="19" t="n">
        <v>3</v>
      </c>
      <c r="K40" s="19" t="n">
        <v>3</v>
      </c>
      <c r="L40" s="19" t="n">
        <v>7</v>
      </c>
      <c r="M40" s="19" t="n">
        <v>6</v>
      </c>
      <c r="N40" s="19" t="n">
        <v>4</v>
      </c>
      <c r="O40" s="19" t="n">
        <v>4</v>
      </c>
      <c r="P40" s="19" t="n">
        <v>4</v>
      </c>
      <c r="Q40" s="19" t="n">
        <v>5</v>
      </c>
      <c r="R40" s="19" t="n">
        <v>2</v>
      </c>
      <c r="S40" s="16" t="n">
        <v>6</v>
      </c>
      <c r="T40" s="16" t="n">
        <v>7</v>
      </c>
      <c r="U40" s="16" t="n">
        <v>7</v>
      </c>
      <c r="V40" s="16" t="n">
        <v>1</v>
      </c>
      <c r="W40" s="16" t="n">
        <v>7</v>
      </c>
      <c r="X40" s="16" t="n">
        <v>1</v>
      </c>
      <c r="Y40" s="16" t="n">
        <v>7</v>
      </c>
      <c r="Z40" s="19" t="n">
        <v>7</v>
      </c>
      <c r="AA40" s="14" t="n">
        <v>5.421052632</v>
      </c>
    </row>
    <row r="41" customFormat="false" ht="14.25" hidden="false" customHeight="false" outlineLevel="0" collapsed="false">
      <c r="A41" s="15" t="n">
        <v>10</v>
      </c>
      <c r="B41" s="15" t="s">
        <v>14</v>
      </c>
      <c r="C41" s="15" t="n">
        <v>4</v>
      </c>
      <c r="D41" s="15" t="n">
        <v>1</v>
      </c>
      <c r="E41" s="19" t="n">
        <v>6</v>
      </c>
      <c r="F41" s="19" t="n">
        <v>7</v>
      </c>
      <c r="G41" s="19" t="n">
        <v>2</v>
      </c>
      <c r="H41" s="19" t="n">
        <v>4</v>
      </c>
      <c r="I41" s="19" t="n">
        <v>7</v>
      </c>
      <c r="J41" s="19" t="n">
        <v>5</v>
      </c>
      <c r="K41" s="19" t="n">
        <v>3</v>
      </c>
      <c r="L41" s="19" t="n">
        <v>7</v>
      </c>
      <c r="M41" s="19" t="n">
        <v>7</v>
      </c>
      <c r="N41" s="19" t="n">
        <v>4</v>
      </c>
      <c r="O41" s="19" t="n">
        <v>4</v>
      </c>
      <c r="P41" s="19" t="n">
        <v>4</v>
      </c>
      <c r="Q41" s="19" t="n">
        <v>5</v>
      </c>
      <c r="R41" s="19" t="n">
        <v>1</v>
      </c>
      <c r="S41" s="16" t="n">
        <v>7</v>
      </c>
      <c r="T41" s="16" t="n">
        <v>7</v>
      </c>
      <c r="U41" s="16" t="n">
        <v>7</v>
      </c>
      <c r="V41" s="16" t="n">
        <v>1</v>
      </c>
      <c r="W41" s="16" t="n">
        <v>7</v>
      </c>
      <c r="X41" s="16" t="n">
        <v>1</v>
      </c>
      <c r="Y41" s="16" t="n">
        <v>7</v>
      </c>
      <c r="Z41" s="19" t="n">
        <v>7</v>
      </c>
      <c r="AA41" s="14" t="n">
        <v>5.631578947</v>
      </c>
    </row>
    <row r="42" customFormat="false" ht="14.25" hidden="false" customHeight="false" outlineLevel="0" collapsed="false">
      <c r="A42" s="12" t="n">
        <v>11</v>
      </c>
      <c r="B42" s="12" t="s">
        <v>11</v>
      </c>
      <c r="C42" s="12" t="n">
        <v>3</v>
      </c>
      <c r="D42" s="12" t="n">
        <v>3</v>
      </c>
      <c r="E42" s="13" t="n">
        <v>6</v>
      </c>
      <c r="F42" s="13" t="n">
        <v>6</v>
      </c>
      <c r="G42" s="13" t="n">
        <v>6</v>
      </c>
      <c r="H42" s="13" t="n">
        <v>6</v>
      </c>
      <c r="I42" s="13" t="n">
        <v>5</v>
      </c>
      <c r="J42" s="13" t="n">
        <v>6</v>
      </c>
      <c r="K42" s="13" t="n">
        <v>6</v>
      </c>
      <c r="L42" s="13" t="n">
        <v>6</v>
      </c>
      <c r="M42" s="13" t="n">
        <v>5</v>
      </c>
      <c r="N42" s="13" t="n">
        <v>6</v>
      </c>
      <c r="O42" s="13" t="n">
        <v>5</v>
      </c>
      <c r="P42" s="13" t="n">
        <v>5</v>
      </c>
      <c r="Q42" s="13" t="n">
        <v>5</v>
      </c>
      <c r="R42" s="13" t="n">
        <v>2</v>
      </c>
      <c r="S42" s="13" t="n">
        <v>6</v>
      </c>
      <c r="T42" s="13" t="n">
        <v>7</v>
      </c>
      <c r="U42" s="13" t="n">
        <v>6</v>
      </c>
      <c r="V42" s="13" t="n">
        <v>2</v>
      </c>
      <c r="W42" s="13" t="n">
        <v>6</v>
      </c>
      <c r="X42" s="13" t="n">
        <v>8</v>
      </c>
      <c r="Y42" s="13" t="n">
        <v>0</v>
      </c>
      <c r="Z42" s="13" t="n">
        <v>6</v>
      </c>
      <c r="AA42" s="14" t="n">
        <v>5.473684211</v>
      </c>
    </row>
    <row r="43" customFormat="false" ht="14.25" hidden="false" customHeight="false" outlineLevel="0" collapsed="false">
      <c r="A43" s="12" t="n">
        <v>11</v>
      </c>
      <c r="B43" s="12" t="s">
        <v>12</v>
      </c>
      <c r="C43" s="12" t="n">
        <v>3</v>
      </c>
      <c r="D43" s="12" t="n">
        <v>4</v>
      </c>
      <c r="E43" s="13" t="n">
        <v>6</v>
      </c>
      <c r="F43" s="13" t="n">
        <v>6</v>
      </c>
      <c r="G43" s="13" t="n">
        <v>6</v>
      </c>
      <c r="H43" s="13" t="n">
        <v>6</v>
      </c>
      <c r="I43" s="13" t="n">
        <v>5</v>
      </c>
      <c r="J43" s="13" t="n">
        <v>6</v>
      </c>
      <c r="K43" s="13" t="n">
        <v>5</v>
      </c>
      <c r="L43" s="13" t="n">
        <v>6</v>
      </c>
      <c r="M43" s="13" t="n">
        <v>6</v>
      </c>
      <c r="N43" s="13" t="n">
        <v>6</v>
      </c>
      <c r="O43" s="13" t="n">
        <v>5</v>
      </c>
      <c r="P43" s="13" t="n">
        <v>5</v>
      </c>
      <c r="Q43" s="13" t="n">
        <v>6</v>
      </c>
      <c r="R43" s="13" t="n">
        <v>2</v>
      </c>
      <c r="S43" s="13" t="n">
        <v>6</v>
      </c>
      <c r="T43" s="13" t="n">
        <v>7</v>
      </c>
      <c r="U43" s="13" t="n">
        <v>6</v>
      </c>
      <c r="V43" s="13" t="n">
        <v>2</v>
      </c>
      <c r="W43" s="13" t="n">
        <v>6</v>
      </c>
      <c r="X43" s="13" t="n">
        <v>8</v>
      </c>
      <c r="Y43" s="13" t="n">
        <v>0</v>
      </c>
      <c r="Z43" s="13" t="n">
        <v>6</v>
      </c>
      <c r="AA43" s="14" t="n">
        <v>5.526315789</v>
      </c>
    </row>
    <row r="44" customFormat="false" ht="14.25" hidden="false" customHeight="false" outlineLevel="0" collapsed="false">
      <c r="A44" s="12" t="n">
        <v>11</v>
      </c>
      <c r="B44" s="12" t="s">
        <v>13</v>
      </c>
      <c r="C44" s="12" t="n">
        <v>3</v>
      </c>
      <c r="D44" s="12" t="n">
        <v>1</v>
      </c>
      <c r="E44" s="13" t="n">
        <v>5</v>
      </c>
      <c r="F44" s="13" t="n">
        <v>5</v>
      </c>
      <c r="G44" s="13" t="n">
        <v>6</v>
      </c>
      <c r="H44" s="13" t="n">
        <v>6</v>
      </c>
      <c r="I44" s="13" t="n">
        <v>5</v>
      </c>
      <c r="J44" s="13" t="n">
        <v>7</v>
      </c>
      <c r="K44" s="13" t="n">
        <v>4</v>
      </c>
      <c r="L44" s="13" t="n">
        <v>5</v>
      </c>
      <c r="M44" s="13" t="n">
        <v>5</v>
      </c>
      <c r="N44" s="13" t="n">
        <v>6</v>
      </c>
      <c r="O44" s="13" t="n">
        <v>4</v>
      </c>
      <c r="P44" s="13" t="n">
        <v>5</v>
      </c>
      <c r="Q44" s="13" t="n">
        <v>7</v>
      </c>
      <c r="R44" s="13" t="n">
        <v>2</v>
      </c>
      <c r="S44" s="13" t="n">
        <v>6</v>
      </c>
      <c r="T44" s="13" t="n">
        <v>7</v>
      </c>
      <c r="U44" s="13" t="n">
        <v>7</v>
      </c>
      <c r="V44" s="13" t="n">
        <v>2</v>
      </c>
      <c r="W44" s="13" t="n">
        <v>6</v>
      </c>
      <c r="X44" s="13" t="n">
        <v>1</v>
      </c>
      <c r="Y44" s="13" t="n">
        <v>7</v>
      </c>
      <c r="Z44" s="13" t="n">
        <v>6</v>
      </c>
      <c r="AA44" s="14" t="n">
        <v>5.736842105</v>
      </c>
    </row>
    <row r="45" customFormat="false" ht="14.25" hidden="false" customHeight="false" outlineLevel="0" collapsed="false">
      <c r="A45" s="12" t="n">
        <v>11</v>
      </c>
      <c r="B45" s="12" t="s">
        <v>14</v>
      </c>
      <c r="C45" s="12" t="n">
        <v>3</v>
      </c>
      <c r="D45" s="12" t="n">
        <v>2</v>
      </c>
      <c r="E45" s="13" t="n">
        <v>6</v>
      </c>
      <c r="F45" s="13" t="n">
        <v>6</v>
      </c>
      <c r="G45" s="13" t="n">
        <v>6</v>
      </c>
      <c r="H45" s="13" t="n">
        <v>7</v>
      </c>
      <c r="I45" s="13" t="n">
        <v>6</v>
      </c>
      <c r="J45" s="13" t="n">
        <v>7</v>
      </c>
      <c r="K45" s="13" t="n">
        <v>6</v>
      </c>
      <c r="L45" s="13" t="n">
        <v>6</v>
      </c>
      <c r="M45" s="13" t="n">
        <v>6</v>
      </c>
      <c r="N45" s="13" t="n">
        <v>6</v>
      </c>
      <c r="O45" s="13" t="n">
        <v>5</v>
      </c>
      <c r="P45" s="13" t="n">
        <v>5</v>
      </c>
      <c r="Q45" s="13" t="n">
        <v>6</v>
      </c>
      <c r="R45" s="13" t="n">
        <v>2</v>
      </c>
      <c r="S45" s="13" t="n">
        <v>6</v>
      </c>
      <c r="T45" s="13" t="n">
        <v>7</v>
      </c>
      <c r="U45" s="13" t="n">
        <v>6</v>
      </c>
      <c r="V45" s="13" t="n">
        <v>2</v>
      </c>
      <c r="W45" s="13" t="n">
        <v>6</v>
      </c>
      <c r="X45" s="13" t="n">
        <v>1</v>
      </c>
      <c r="Y45" s="13" t="n">
        <v>7</v>
      </c>
      <c r="Z45" s="13" t="n">
        <v>7</v>
      </c>
      <c r="AA45" s="14" t="n">
        <v>6.157894737</v>
      </c>
    </row>
    <row r="46" customFormat="false" ht="14.25" hidden="false" customHeight="false" outlineLevel="0" collapsed="false">
      <c r="A46" s="15" t="n">
        <v>12</v>
      </c>
      <c r="B46" s="15" t="s">
        <v>11</v>
      </c>
      <c r="C46" s="15" t="n">
        <v>3</v>
      </c>
      <c r="D46" s="15" t="n">
        <v>3</v>
      </c>
      <c r="E46" s="19" t="n">
        <v>6</v>
      </c>
      <c r="F46" s="19" t="n">
        <v>7</v>
      </c>
      <c r="G46" s="19" t="n">
        <v>5</v>
      </c>
      <c r="H46" s="19" t="n">
        <v>7</v>
      </c>
      <c r="I46" s="19" t="n">
        <v>5</v>
      </c>
      <c r="J46" s="19" t="n">
        <v>5</v>
      </c>
      <c r="K46" s="19" t="n">
        <v>6</v>
      </c>
      <c r="L46" s="19" t="n">
        <v>6</v>
      </c>
      <c r="M46" s="19" t="n">
        <v>7</v>
      </c>
      <c r="N46" s="19" t="n">
        <v>6</v>
      </c>
      <c r="O46" s="19" t="n">
        <v>6</v>
      </c>
      <c r="P46" s="19" t="n">
        <v>7</v>
      </c>
      <c r="Q46" s="19" t="n">
        <v>6</v>
      </c>
      <c r="R46" s="19" t="n">
        <v>2</v>
      </c>
      <c r="S46" s="16" t="n">
        <v>6</v>
      </c>
      <c r="T46" s="16" t="n">
        <v>7</v>
      </c>
      <c r="U46" s="16" t="n">
        <v>5</v>
      </c>
      <c r="V46" s="16" t="n">
        <v>1</v>
      </c>
      <c r="W46" s="16" t="n">
        <v>7</v>
      </c>
      <c r="X46" s="16" t="n">
        <v>1</v>
      </c>
      <c r="Y46" s="16" t="n">
        <v>7</v>
      </c>
      <c r="Z46" s="16" t="n">
        <v>5</v>
      </c>
      <c r="AA46" s="14" t="n">
        <v>6.105263158</v>
      </c>
    </row>
    <row r="47" customFormat="false" ht="14.25" hidden="false" customHeight="false" outlineLevel="0" collapsed="false">
      <c r="A47" s="15" t="n">
        <v>12</v>
      </c>
      <c r="B47" s="15" t="s">
        <v>12</v>
      </c>
      <c r="C47" s="15" t="n">
        <v>3</v>
      </c>
      <c r="D47" s="15" t="n">
        <v>4</v>
      </c>
      <c r="E47" s="19" t="n">
        <v>5</v>
      </c>
      <c r="F47" s="19" t="n">
        <v>6</v>
      </c>
      <c r="G47" s="19" t="n">
        <v>6</v>
      </c>
      <c r="H47" s="19" t="n">
        <v>7</v>
      </c>
      <c r="I47" s="19" t="n">
        <v>5</v>
      </c>
      <c r="J47" s="19" t="n">
        <v>6</v>
      </c>
      <c r="K47" s="19" t="n">
        <v>5</v>
      </c>
      <c r="L47" s="19" t="n">
        <v>6</v>
      </c>
      <c r="M47" s="19" t="n">
        <v>7</v>
      </c>
      <c r="N47" s="19" t="n">
        <v>6</v>
      </c>
      <c r="O47" s="19" t="n">
        <v>6</v>
      </c>
      <c r="P47" s="19" t="n">
        <v>7</v>
      </c>
      <c r="Q47" s="19" t="n">
        <v>6</v>
      </c>
      <c r="R47" s="19" t="n">
        <v>2</v>
      </c>
      <c r="S47" s="16" t="n">
        <v>6</v>
      </c>
      <c r="T47" s="16" t="n">
        <v>7</v>
      </c>
      <c r="U47" s="16" t="n">
        <v>6</v>
      </c>
      <c r="V47" s="16" t="n">
        <v>1</v>
      </c>
      <c r="W47" s="16" t="n">
        <v>7</v>
      </c>
      <c r="X47" s="16" t="n">
        <v>1</v>
      </c>
      <c r="Y47" s="16" t="n">
        <v>7</v>
      </c>
      <c r="Z47" s="16" t="n">
        <v>6</v>
      </c>
      <c r="AA47" s="14" t="n">
        <v>6.157894737</v>
      </c>
    </row>
    <row r="48" customFormat="false" ht="14.25" hidden="false" customHeight="false" outlineLevel="0" collapsed="false">
      <c r="A48" s="15" t="n">
        <v>12</v>
      </c>
      <c r="B48" s="15" t="s">
        <v>13</v>
      </c>
      <c r="C48" s="15" t="n">
        <v>3</v>
      </c>
      <c r="D48" s="15" t="n">
        <v>1</v>
      </c>
      <c r="E48" s="19" t="n">
        <v>6</v>
      </c>
      <c r="F48" s="19" t="n">
        <v>7</v>
      </c>
      <c r="G48" s="19" t="n">
        <v>4</v>
      </c>
      <c r="H48" s="19" t="n">
        <v>6</v>
      </c>
      <c r="I48" s="19" t="n">
        <v>6</v>
      </c>
      <c r="J48" s="19" t="n">
        <v>5</v>
      </c>
      <c r="K48" s="19" t="n">
        <v>5</v>
      </c>
      <c r="L48" s="19" t="n">
        <v>6</v>
      </c>
      <c r="M48" s="19" t="n">
        <v>7</v>
      </c>
      <c r="N48" s="19" t="n">
        <v>7</v>
      </c>
      <c r="O48" s="19" t="n">
        <v>6</v>
      </c>
      <c r="P48" s="19" t="n">
        <v>6</v>
      </c>
      <c r="Q48" s="19" t="n">
        <v>7</v>
      </c>
      <c r="R48" s="19" t="n">
        <v>1</v>
      </c>
      <c r="S48" s="16" t="n">
        <v>7</v>
      </c>
      <c r="T48" s="16" t="n">
        <v>7</v>
      </c>
      <c r="U48" s="16" t="n">
        <v>6</v>
      </c>
      <c r="V48" s="16" t="n">
        <v>1</v>
      </c>
      <c r="W48" s="16" t="n">
        <v>7</v>
      </c>
      <c r="X48" s="16" t="n">
        <v>1</v>
      </c>
      <c r="Y48" s="16" t="n">
        <v>7</v>
      </c>
      <c r="Z48" s="16" t="n">
        <v>6</v>
      </c>
      <c r="AA48" s="14" t="n">
        <v>6.210526316</v>
      </c>
    </row>
    <row r="49" customFormat="false" ht="14.25" hidden="false" customHeight="false" outlineLevel="0" collapsed="false">
      <c r="A49" s="15" t="n">
        <v>12</v>
      </c>
      <c r="B49" s="15" t="s">
        <v>14</v>
      </c>
      <c r="C49" s="15" t="n">
        <v>3</v>
      </c>
      <c r="D49" s="15" t="n">
        <v>2</v>
      </c>
      <c r="E49" s="19" t="n">
        <v>7</v>
      </c>
      <c r="F49" s="19" t="n">
        <v>7</v>
      </c>
      <c r="G49" s="19" t="n">
        <v>6</v>
      </c>
      <c r="H49" s="19" t="n">
        <v>6</v>
      </c>
      <c r="I49" s="19" t="n">
        <v>6</v>
      </c>
      <c r="J49" s="19" t="n">
        <v>6</v>
      </c>
      <c r="K49" s="19" t="n">
        <v>6</v>
      </c>
      <c r="L49" s="19" t="n">
        <v>6</v>
      </c>
      <c r="M49" s="19" t="n">
        <v>7</v>
      </c>
      <c r="N49" s="19" t="n">
        <v>5</v>
      </c>
      <c r="O49" s="19" t="n">
        <v>6</v>
      </c>
      <c r="P49" s="19" t="n">
        <v>7</v>
      </c>
      <c r="Q49" s="19" t="n">
        <v>7</v>
      </c>
      <c r="R49" s="19" t="n">
        <v>2</v>
      </c>
      <c r="S49" s="16" t="n">
        <v>6</v>
      </c>
      <c r="T49" s="16" t="n">
        <v>7</v>
      </c>
      <c r="U49" s="16" t="n">
        <v>6</v>
      </c>
      <c r="V49" s="16" t="n">
        <v>1</v>
      </c>
      <c r="W49" s="16" t="n">
        <v>7</v>
      </c>
      <c r="X49" s="16" t="n">
        <v>1</v>
      </c>
      <c r="Y49" s="16" t="n">
        <v>7</v>
      </c>
      <c r="Z49" s="16" t="n">
        <v>6</v>
      </c>
      <c r="AA49" s="14" t="n">
        <v>6.368421053</v>
      </c>
    </row>
    <row r="50" customFormat="false" ht="14.25" hidden="false" customHeight="false" outlineLevel="0" collapsed="false">
      <c r="A50" s="12" t="n">
        <v>13</v>
      </c>
      <c r="B50" s="12" t="s">
        <v>11</v>
      </c>
      <c r="C50" s="12" t="n">
        <v>1</v>
      </c>
      <c r="D50" s="12" t="n">
        <v>1</v>
      </c>
      <c r="E50" s="13" t="n">
        <v>6</v>
      </c>
      <c r="F50" s="13" t="n">
        <v>7</v>
      </c>
      <c r="G50" s="13" t="n">
        <v>7</v>
      </c>
      <c r="H50" s="13" t="n">
        <v>6</v>
      </c>
      <c r="I50" s="13" t="n">
        <v>6</v>
      </c>
      <c r="J50" s="13" t="n">
        <v>7</v>
      </c>
      <c r="K50" s="13" t="n">
        <v>7</v>
      </c>
      <c r="L50" s="13" t="n">
        <v>7</v>
      </c>
      <c r="M50" s="13" t="n">
        <v>6</v>
      </c>
      <c r="N50" s="13" t="n">
        <v>5</v>
      </c>
      <c r="O50" s="13" t="n">
        <v>6</v>
      </c>
      <c r="P50" s="13" t="n">
        <v>7</v>
      </c>
      <c r="Q50" s="13" t="n">
        <v>7</v>
      </c>
      <c r="R50" s="13" t="n">
        <v>1</v>
      </c>
      <c r="S50" s="13" t="n">
        <v>7</v>
      </c>
      <c r="T50" s="13" t="n">
        <v>7</v>
      </c>
      <c r="U50" s="13" t="n">
        <v>7</v>
      </c>
      <c r="V50" s="13" t="n">
        <v>1</v>
      </c>
      <c r="W50" s="13" t="n">
        <v>7</v>
      </c>
      <c r="X50" s="13" t="n">
        <v>1</v>
      </c>
      <c r="Y50" s="13" t="n">
        <v>7</v>
      </c>
      <c r="Z50" s="13" t="n">
        <v>4</v>
      </c>
      <c r="AA50" s="14" t="n">
        <v>6.473684211</v>
      </c>
    </row>
    <row r="51" customFormat="false" ht="14.25" hidden="false" customHeight="false" outlineLevel="0" collapsed="false">
      <c r="A51" s="12" t="n">
        <v>13</v>
      </c>
      <c r="B51" s="12" t="s">
        <v>12</v>
      </c>
      <c r="C51" s="12" t="n">
        <v>1</v>
      </c>
      <c r="D51" s="12" t="n">
        <v>2</v>
      </c>
      <c r="E51" s="13" t="n">
        <v>6</v>
      </c>
      <c r="F51" s="13" t="n">
        <v>7</v>
      </c>
      <c r="G51" s="13" t="n">
        <v>7</v>
      </c>
      <c r="H51" s="13" t="n">
        <v>7</v>
      </c>
      <c r="I51" s="13" t="n">
        <v>6</v>
      </c>
      <c r="J51" s="13" t="n">
        <v>7</v>
      </c>
      <c r="K51" s="13" t="n">
        <v>7</v>
      </c>
      <c r="L51" s="13" t="n">
        <v>7</v>
      </c>
      <c r="M51" s="13" t="n">
        <v>7</v>
      </c>
      <c r="N51" s="13" t="n">
        <v>6</v>
      </c>
      <c r="O51" s="13" t="n">
        <v>7</v>
      </c>
      <c r="P51" s="13" t="n">
        <v>7</v>
      </c>
      <c r="Q51" s="13" t="n">
        <v>6</v>
      </c>
      <c r="R51" s="13" t="n">
        <v>1</v>
      </c>
      <c r="S51" s="13" t="n">
        <v>7</v>
      </c>
      <c r="T51" s="13" t="n">
        <v>7</v>
      </c>
      <c r="U51" s="13" t="n">
        <v>7</v>
      </c>
      <c r="V51" s="13" t="n">
        <v>6</v>
      </c>
      <c r="W51" s="13" t="n">
        <v>2</v>
      </c>
      <c r="X51" s="13" t="n">
        <v>8</v>
      </c>
      <c r="Y51" s="13" t="n">
        <v>0</v>
      </c>
      <c r="Z51" s="13" t="n">
        <v>4</v>
      </c>
      <c r="AA51" s="14" t="n">
        <v>6</v>
      </c>
    </row>
    <row r="52" customFormat="false" ht="14.25" hidden="false" customHeight="false" outlineLevel="0" collapsed="false">
      <c r="A52" s="12" t="n">
        <v>13</v>
      </c>
      <c r="B52" s="12" t="s">
        <v>13</v>
      </c>
      <c r="C52" s="12" t="n">
        <v>1</v>
      </c>
      <c r="D52" s="12" t="n">
        <v>3</v>
      </c>
      <c r="E52" s="13" t="n">
        <v>7</v>
      </c>
      <c r="F52" s="13" t="n">
        <v>7</v>
      </c>
      <c r="G52" s="13" t="n">
        <v>7</v>
      </c>
      <c r="H52" s="13" t="n">
        <v>7</v>
      </c>
      <c r="I52" s="13" t="n">
        <v>6</v>
      </c>
      <c r="J52" s="13" t="n">
        <v>7</v>
      </c>
      <c r="K52" s="13" t="n">
        <v>7</v>
      </c>
      <c r="L52" s="13" t="n">
        <v>7</v>
      </c>
      <c r="M52" s="13" t="n">
        <v>7</v>
      </c>
      <c r="N52" s="13" t="n">
        <v>6</v>
      </c>
      <c r="O52" s="13" t="n">
        <v>7</v>
      </c>
      <c r="P52" s="13" t="n">
        <v>6</v>
      </c>
      <c r="Q52" s="13" t="n">
        <v>7</v>
      </c>
      <c r="R52" s="13" t="n">
        <v>1</v>
      </c>
      <c r="S52" s="13" t="n">
        <v>7</v>
      </c>
      <c r="T52" s="13" t="n">
        <v>7</v>
      </c>
      <c r="U52" s="13" t="n">
        <v>7</v>
      </c>
      <c r="V52" s="13" t="n">
        <v>1</v>
      </c>
      <c r="W52" s="13" t="n">
        <v>7</v>
      </c>
      <c r="X52" s="13" t="n">
        <v>1</v>
      </c>
      <c r="Y52" s="13" t="n">
        <v>7</v>
      </c>
      <c r="Z52" s="13" t="n">
        <v>5</v>
      </c>
      <c r="AA52" s="14" t="n">
        <v>6.736842105</v>
      </c>
    </row>
    <row r="53" customFormat="false" ht="14.25" hidden="false" customHeight="false" outlineLevel="0" collapsed="false">
      <c r="A53" s="12" t="n">
        <v>13</v>
      </c>
      <c r="B53" s="12" t="s">
        <v>14</v>
      </c>
      <c r="C53" s="12" t="n">
        <v>1</v>
      </c>
      <c r="D53" s="12" t="n">
        <v>4</v>
      </c>
      <c r="E53" s="13" t="n">
        <v>7</v>
      </c>
      <c r="F53" s="13" t="n">
        <v>7</v>
      </c>
      <c r="G53" s="13" t="n">
        <v>7</v>
      </c>
      <c r="H53" s="13" t="n">
        <v>7</v>
      </c>
      <c r="I53" s="13" t="n">
        <v>6</v>
      </c>
      <c r="J53" s="13" t="n">
        <v>7</v>
      </c>
      <c r="K53" s="13" t="n">
        <v>7</v>
      </c>
      <c r="L53" s="13" t="n">
        <v>7</v>
      </c>
      <c r="M53" s="13" t="n">
        <v>7</v>
      </c>
      <c r="N53" s="13" t="n">
        <v>6</v>
      </c>
      <c r="O53" s="13" t="n">
        <v>7</v>
      </c>
      <c r="P53" s="13" t="n">
        <v>7</v>
      </c>
      <c r="Q53" s="13" t="n">
        <v>7</v>
      </c>
      <c r="R53" s="13" t="n">
        <v>1</v>
      </c>
      <c r="S53" s="13" t="n">
        <v>7</v>
      </c>
      <c r="T53" s="13" t="n">
        <v>7</v>
      </c>
      <c r="U53" s="13" t="n">
        <v>7</v>
      </c>
      <c r="V53" s="13" t="n">
        <v>1</v>
      </c>
      <c r="W53" s="13" t="n">
        <v>7</v>
      </c>
      <c r="X53" s="13" t="n">
        <v>8</v>
      </c>
      <c r="Y53" s="13" t="n">
        <v>0</v>
      </c>
      <c r="Z53" s="13" t="n">
        <v>5</v>
      </c>
      <c r="AA53" s="14" t="n">
        <v>6.421052632</v>
      </c>
    </row>
    <row r="54" customFormat="false" ht="14.25" hidden="false" customHeight="false" outlineLevel="0" collapsed="false">
      <c r="A54" s="15" t="n">
        <v>14</v>
      </c>
      <c r="B54" s="15" t="s">
        <v>11</v>
      </c>
      <c r="C54" s="15" t="n">
        <v>3</v>
      </c>
      <c r="D54" s="15" t="n">
        <v>3</v>
      </c>
      <c r="E54" s="19" t="n">
        <v>6</v>
      </c>
      <c r="F54" s="19" t="n">
        <v>6</v>
      </c>
      <c r="G54" s="19" t="n">
        <v>5</v>
      </c>
      <c r="H54" s="19" t="n">
        <v>6</v>
      </c>
      <c r="I54" s="19" t="n">
        <v>5</v>
      </c>
      <c r="J54" s="19" t="n">
        <v>5</v>
      </c>
      <c r="K54" s="19" t="n">
        <v>5</v>
      </c>
      <c r="L54" s="19" t="n">
        <v>6</v>
      </c>
      <c r="M54" s="19" t="n">
        <v>6</v>
      </c>
      <c r="N54" s="19" t="n">
        <v>6</v>
      </c>
      <c r="O54" s="19" t="n">
        <v>6</v>
      </c>
      <c r="P54" s="19" t="n">
        <v>6</v>
      </c>
      <c r="Q54" s="19" t="n">
        <v>5</v>
      </c>
      <c r="R54" s="19" t="n">
        <v>2</v>
      </c>
      <c r="S54" s="16" t="n">
        <v>6</v>
      </c>
      <c r="T54" s="16" t="n">
        <v>7</v>
      </c>
      <c r="U54" s="16" t="n">
        <v>7</v>
      </c>
      <c r="V54" s="16" t="n">
        <v>2</v>
      </c>
      <c r="W54" s="16" t="n">
        <v>6</v>
      </c>
      <c r="X54" s="16" t="n">
        <v>8</v>
      </c>
      <c r="Y54" s="16" t="n">
        <v>0</v>
      </c>
      <c r="Z54" s="19" t="n">
        <v>3</v>
      </c>
      <c r="AA54" s="14" t="n">
        <v>5.368421053</v>
      </c>
    </row>
    <row r="55" customFormat="false" ht="14.25" hidden="false" customHeight="false" outlineLevel="0" collapsed="false">
      <c r="A55" s="15" t="n">
        <v>14</v>
      </c>
      <c r="B55" s="15" t="s">
        <v>12</v>
      </c>
      <c r="C55" s="15" t="n">
        <v>3</v>
      </c>
      <c r="D55" s="15" t="n">
        <v>4</v>
      </c>
      <c r="E55" s="19" t="n">
        <v>5</v>
      </c>
      <c r="F55" s="19" t="n">
        <v>4</v>
      </c>
      <c r="G55" s="19" t="n">
        <v>5</v>
      </c>
      <c r="H55" s="19" t="n">
        <v>6</v>
      </c>
      <c r="I55" s="19" t="n">
        <v>6</v>
      </c>
      <c r="J55" s="19" t="n">
        <v>5</v>
      </c>
      <c r="K55" s="19" t="n">
        <v>5</v>
      </c>
      <c r="L55" s="19" t="n">
        <v>5</v>
      </c>
      <c r="M55" s="19" t="n">
        <v>6</v>
      </c>
      <c r="N55" s="19" t="n">
        <v>6</v>
      </c>
      <c r="O55" s="19" t="n">
        <v>6</v>
      </c>
      <c r="P55" s="19" t="n">
        <v>5</v>
      </c>
      <c r="Q55" s="19" t="n">
        <v>5</v>
      </c>
      <c r="R55" s="19" t="n">
        <v>2</v>
      </c>
      <c r="S55" s="16" t="n">
        <v>6</v>
      </c>
      <c r="T55" s="16" t="n">
        <v>7</v>
      </c>
      <c r="U55" s="16" t="n">
        <v>7</v>
      </c>
      <c r="V55" s="16" t="n">
        <v>2</v>
      </c>
      <c r="W55" s="16" t="n">
        <v>6</v>
      </c>
      <c r="X55" s="16" t="n">
        <v>5</v>
      </c>
      <c r="Y55" s="16" t="n">
        <v>3</v>
      </c>
      <c r="Z55" s="19" t="n">
        <v>3</v>
      </c>
      <c r="AA55" s="14" t="n">
        <v>5.315789474</v>
      </c>
    </row>
    <row r="56" customFormat="false" ht="14.25" hidden="false" customHeight="false" outlineLevel="0" collapsed="false">
      <c r="A56" s="15" t="n">
        <v>14</v>
      </c>
      <c r="B56" s="15" t="s">
        <v>13</v>
      </c>
      <c r="C56" s="15" t="n">
        <v>3</v>
      </c>
      <c r="D56" s="15" t="n">
        <v>1</v>
      </c>
      <c r="E56" s="19" t="n">
        <v>6</v>
      </c>
      <c r="F56" s="19" t="n">
        <v>6</v>
      </c>
      <c r="G56" s="19" t="n">
        <v>6</v>
      </c>
      <c r="H56" s="19" t="n">
        <v>6</v>
      </c>
      <c r="I56" s="19" t="n">
        <v>6</v>
      </c>
      <c r="J56" s="19" t="n">
        <v>6</v>
      </c>
      <c r="K56" s="19" t="n">
        <v>5</v>
      </c>
      <c r="L56" s="19" t="n">
        <v>6</v>
      </c>
      <c r="M56" s="19" t="n">
        <v>7</v>
      </c>
      <c r="N56" s="19" t="n">
        <v>7</v>
      </c>
      <c r="O56" s="19" t="n">
        <v>6</v>
      </c>
      <c r="P56" s="19" t="n">
        <v>5</v>
      </c>
      <c r="Q56" s="19" t="n">
        <v>5</v>
      </c>
      <c r="R56" s="19" t="n">
        <v>2</v>
      </c>
      <c r="S56" s="16" t="n">
        <v>6</v>
      </c>
      <c r="T56" s="16" t="n">
        <v>7</v>
      </c>
      <c r="U56" s="16" t="n">
        <v>7</v>
      </c>
      <c r="V56" s="16" t="n">
        <v>1</v>
      </c>
      <c r="W56" s="16" t="n">
        <v>7</v>
      </c>
      <c r="X56" s="16" t="n">
        <v>1</v>
      </c>
      <c r="Y56" s="16" t="n">
        <v>7</v>
      </c>
      <c r="Z56" s="19" t="n">
        <v>7</v>
      </c>
      <c r="AA56" s="14" t="n">
        <v>6.210526316</v>
      </c>
    </row>
    <row r="57" customFormat="false" ht="14.25" hidden="false" customHeight="false" outlineLevel="0" collapsed="false">
      <c r="A57" s="15" t="n">
        <v>14</v>
      </c>
      <c r="B57" s="15" t="s">
        <v>14</v>
      </c>
      <c r="C57" s="15" t="n">
        <v>3</v>
      </c>
      <c r="D57" s="15" t="n">
        <v>2</v>
      </c>
      <c r="E57" s="19" t="n">
        <v>6</v>
      </c>
      <c r="F57" s="19" t="n">
        <v>7</v>
      </c>
      <c r="G57" s="19" t="n">
        <v>7</v>
      </c>
      <c r="H57" s="19" t="n">
        <v>6</v>
      </c>
      <c r="I57" s="19" t="n">
        <v>7</v>
      </c>
      <c r="J57" s="19" t="n">
        <v>6</v>
      </c>
      <c r="K57" s="19" t="n">
        <v>6</v>
      </c>
      <c r="L57" s="19" t="n">
        <v>7</v>
      </c>
      <c r="M57" s="19" t="n">
        <v>6</v>
      </c>
      <c r="N57" s="19" t="n">
        <v>6</v>
      </c>
      <c r="O57" s="19" t="n">
        <v>7</v>
      </c>
      <c r="P57" s="19" t="n">
        <v>6</v>
      </c>
      <c r="Q57" s="19" t="n">
        <v>6</v>
      </c>
      <c r="R57" s="19" t="n">
        <v>1</v>
      </c>
      <c r="S57" s="16" t="n">
        <v>7</v>
      </c>
      <c r="T57" s="16" t="n">
        <v>7</v>
      </c>
      <c r="U57" s="16" t="n">
        <v>7</v>
      </c>
      <c r="V57" s="16" t="n">
        <v>1</v>
      </c>
      <c r="W57" s="16" t="n">
        <v>7</v>
      </c>
      <c r="X57" s="16" t="n">
        <v>8</v>
      </c>
      <c r="Y57" s="16" t="n">
        <v>0</v>
      </c>
      <c r="Z57" s="19" t="n">
        <v>7</v>
      </c>
      <c r="AA57" s="14" t="n">
        <v>6.210526316</v>
      </c>
    </row>
    <row r="58" customFormat="false" ht="14.25" hidden="false" customHeight="false" outlineLevel="0" collapsed="false">
      <c r="A58" s="12" t="n">
        <v>15</v>
      </c>
      <c r="B58" s="12" t="s">
        <v>11</v>
      </c>
      <c r="C58" s="12" t="n">
        <v>1</v>
      </c>
      <c r="D58" s="12" t="n">
        <v>1</v>
      </c>
      <c r="E58" s="13" t="n">
        <v>6</v>
      </c>
      <c r="F58" s="13" t="n">
        <v>7</v>
      </c>
      <c r="G58" s="13" t="n">
        <v>7</v>
      </c>
      <c r="H58" s="13" t="n">
        <v>6</v>
      </c>
      <c r="I58" s="13" t="n">
        <v>7</v>
      </c>
      <c r="J58" s="13" t="n">
        <v>5</v>
      </c>
      <c r="K58" s="13" t="n">
        <v>5</v>
      </c>
      <c r="L58" s="13" t="n">
        <v>7</v>
      </c>
      <c r="M58" s="13" t="n">
        <v>7</v>
      </c>
      <c r="N58" s="13" t="n">
        <v>7</v>
      </c>
      <c r="O58" s="13" t="n">
        <v>6</v>
      </c>
      <c r="P58" s="13" t="n">
        <v>5</v>
      </c>
      <c r="Q58" s="13" t="n">
        <v>7</v>
      </c>
      <c r="R58" s="13" t="n">
        <v>1</v>
      </c>
      <c r="S58" s="13" t="n">
        <v>7</v>
      </c>
      <c r="T58" s="13" t="n">
        <v>7</v>
      </c>
      <c r="U58" s="13" t="n">
        <v>7</v>
      </c>
      <c r="V58" s="13" t="n">
        <v>7</v>
      </c>
      <c r="W58" s="13" t="n">
        <v>1</v>
      </c>
      <c r="X58" s="13" t="n">
        <v>8</v>
      </c>
      <c r="Y58" s="13" t="n">
        <v>0</v>
      </c>
      <c r="Z58" s="13" t="n">
        <v>7</v>
      </c>
      <c r="AA58" s="14" t="n">
        <v>5.842105263</v>
      </c>
    </row>
    <row r="59" customFormat="false" ht="14.25" hidden="false" customHeight="false" outlineLevel="0" collapsed="false">
      <c r="A59" s="12" t="n">
        <v>15</v>
      </c>
      <c r="B59" s="12" t="s">
        <v>12</v>
      </c>
      <c r="C59" s="12" t="n">
        <v>1</v>
      </c>
      <c r="D59" s="12" t="n">
        <v>2</v>
      </c>
      <c r="E59" s="13" t="n">
        <v>6</v>
      </c>
      <c r="F59" s="13" t="n">
        <v>7</v>
      </c>
      <c r="G59" s="13" t="n">
        <v>7</v>
      </c>
      <c r="H59" s="13" t="n">
        <v>6</v>
      </c>
      <c r="I59" s="13" t="n">
        <v>7</v>
      </c>
      <c r="J59" s="13" t="n">
        <v>6</v>
      </c>
      <c r="K59" s="13" t="n">
        <v>5</v>
      </c>
      <c r="L59" s="13" t="n">
        <v>7</v>
      </c>
      <c r="M59" s="13" t="n">
        <v>7</v>
      </c>
      <c r="N59" s="13" t="n">
        <v>7</v>
      </c>
      <c r="O59" s="13" t="n">
        <v>5</v>
      </c>
      <c r="P59" s="13" t="n">
        <v>5</v>
      </c>
      <c r="Q59" s="13" t="n">
        <v>7</v>
      </c>
      <c r="R59" s="13" t="n">
        <v>1</v>
      </c>
      <c r="S59" s="13" t="n">
        <v>7</v>
      </c>
      <c r="T59" s="13" t="n">
        <v>7</v>
      </c>
      <c r="U59" s="13" t="n">
        <v>7</v>
      </c>
      <c r="V59" s="13" t="n">
        <v>1</v>
      </c>
      <c r="W59" s="13" t="n">
        <v>7</v>
      </c>
      <c r="X59" s="13" t="n">
        <v>8</v>
      </c>
      <c r="Y59" s="13" t="n">
        <v>0</v>
      </c>
      <c r="Z59" s="13" t="n">
        <v>7</v>
      </c>
      <c r="AA59" s="14" t="n">
        <v>6.157894737</v>
      </c>
    </row>
    <row r="60" customFormat="false" ht="14.25" hidden="false" customHeight="false" outlineLevel="0" collapsed="false">
      <c r="A60" s="12" t="n">
        <v>15</v>
      </c>
      <c r="B60" s="12" t="s">
        <v>13</v>
      </c>
      <c r="C60" s="12" t="n">
        <v>1</v>
      </c>
      <c r="D60" s="12" t="n">
        <v>3</v>
      </c>
      <c r="E60" s="13" t="n">
        <v>7</v>
      </c>
      <c r="F60" s="13" t="n">
        <v>7</v>
      </c>
      <c r="G60" s="13" t="n">
        <v>5</v>
      </c>
      <c r="H60" s="13" t="n">
        <v>7</v>
      </c>
      <c r="I60" s="13" t="n">
        <v>7</v>
      </c>
      <c r="J60" s="13" t="n">
        <v>6</v>
      </c>
      <c r="K60" s="13" t="n">
        <v>6</v>
      </c>
      <c r="L60" s="13" t="n">
        <v>7</v>
      </c>
      <c r="M60" s="13" t="n">
        <v>7</v>
      </c>
      <c r="N60" s="13" t="n">
        <v>7</v>
      </c>
      <c r="O60" s="13" t="n">
        <v>5</v>
      </c>
      <c r="P60" s="13" t="n">
        <v>5</v>
      </c>
      <c r="Q60" s="13" t="n">
        <v>7</v>
      </c>
      <c r="R60" s="13" t="n">
        <v>1</v>
      </c>
      <c r="S60" s="13" t="n">
        <v>7</v>
      </c>
      <c r="T60" s="13" t="n">
        <v>7</v>
      </c>
      <c r="U60" s="13" t="n">
        <v>7</v>
      </c>
      <c r="V60" s="13" t="n">
        <v>2</v>
      </c>
      <c r="W60" s="13" t="n">
        <v>6</v>
      </c>
      <c r="X60" s="13" t="n">
        <v>8</v>
      </c>
      <c r="Y60" s="13" t="n">
        <v>0</v>
      </c>
      <c r="Z60" s="13" t="n">
        <v>7</v>
      </c>
      <c r="AA60" s="14" t="n">
        <v>6.157894737</v>
      </c>
    </row>
    <row r="61" customFormat="false" ht="14.25" hidden="false" customHeight="false" outlineLevel="0" collapsed="false">
      <c r="A61" s="12" t="n">
        <v>15</v>
      </c>
      <c r="B61" s="12" t="s">
        <v>14</v>
      </c>
      <c r="C61" s="12" t="n">
        <v>1</v>
      </c>
      <c r="D61" s="12" t="n">
        <v>4</v>
      </c>
      <c r="E61" s="13" t="n">
        <v>7</v>
      </c>
      <c r="F61" s="13" t="n">
        <v>7</v>
      </c>
      <c r="G61" s="13" t="n">
        <v>7</v>
      </c>
      <c r="H61" s="13" t="n">
        <v>7</v>
      </c>
      <c r="I61" s="13" t="n">
        <v>7</v>
      </c>
      <c r="J61" s="13" t="n">
        <v>6</v>
      </c>
      <c r="K61" s="13" t="n">
        <v>6</v>
      </c>
      <c r="L61" s="13" t="n">
        <v>7</v>
      </c>
      <c r="M61" s="13" t="n">
        <v>7</v>
      </c>
      <c r="N61" s="13" t="n">
        <v>7</v>
      </c>
      <c r="O61" s="13" t="n">
        <v>6</v>
      </c>
      <c r="P61" s="13" t="n">
        <v>5</v>
      </c>
      <c r="Q61" s="13" t="n">
        <v>7</v>
      </c>
      <c r="R61" s="13" t="n">
        <v>1</v>
      </c>
      <c r="S61" s="13" t="n">
        <v>7</v>
      </c>
      <c r="T61" s="13" t="n">
        <v>7</v>
      </c>
      <c r="U61" s="13" t="n">
        <v>7</v>
      </c>
      <c r="V61" s="13" t="n">
        <v>1</v>
      </c>
      <c r="W61" s="13" t="n">
        <v>7</v>
      </c>
      <c r="X61" s="13" t="n">
        <v>8</v>
      </c>
      <c r="Y61" s="13" t="n">
        <v>0</v>
      </c>
      <c r="Z61" s="13" t="n">
        <v>7</v>
      </c>
      <c r="AA61" s="14" t="n">
        <v>6.368421053</v>
      </c>
    </row>
    <row r="62" customFormat="false" ht="14.25" hidden="false" customHeight="false" outlineLevel="0" collapsed="false">
      <c r="A62" s="15" t="n">
        <v>16</v>
      </c>
      <c r="B62" s="15" t="s">
        <v>11</v>
      </c>
      <c r="C62" s="15" t="n">
        <v>2</v>
      </c>
      <c r="D62" s="15" t="n">
        <v>2</v>
      </c>
      <c r="E62" s="19" t="n">
        <v>6</v>
      </c>
      <c r="F62" s="19" t="n">
        <v>6</v>
      </c>
      <c r="G62" s="19" t="n">
        <v>6</v>
      </c>
      <c r="H62" s="19" t="n">
        <v>6</v>
      </c>
      <c r="I62" s="19" t="n">
        <v>5</v>
      </c>
      <c r="J62" s="19" t="n">
        <v>4</v>
      </c>
      <c r="K62" s="19" t="n">
        <v>4</v>
      </c>
      <c r="L62" s="19" t="n">
        <v>7</v>
      </c>
      <c r="M62" s="19" t="n">
        <v>6</v>
      </c>
      <c r="N62" s="19" t="n">
        <v>6</v>
      </c>
      <c r="O62" s="19" t="n">
        <v>7</v>
      </c>
      <c r="P62" s="19" t="n">
        <v>7</v>
      </c>
      <c r="Q62" s="19" t="n">
        <v>6</v>
      </c>
      <c r="R62" s="19" t="n">
        <v>1</v>
      </c>
      <c r="S62" s="16" t="n">
        <v>7</v>
      </c>
      <c r="T62" s="16" t="n">
        <v>7</v>
      </c>
      <c r="U62" s="16" t="n">
        <v>6</v>
      </c>
      <c r="V62" s="16" t="n">
        <v>1</v>
      </c>
      <c r="W62" s="16" t="n">
        <v>7</v>
      </c>
      <c r="X62" s="16" t="n">
        <v>1</v>
      </c>
      <c r="Y62" s="16" t="n">
        <v>7</v>
      </c>
      <c r="Z62" s="19" t="n">
        <v>7</v>
      </c>
      <c r="AA62" s="14" t="n">
        <v>6.157894737</v>
      </c>
    </row>
    <row r="63" customFormat="false" ht="14.25" hidden="false" customHeight="false" outlineLevel="0" collapsed="false">
      <c r="A63" s="15" t="n">
        <v>16</v>
      </c>
      <c r="B63" s="15" t="s">
        <v>12</v>
      </c>
      <c r="C63" s="15" t="n">
        <v>2</v>
      </c>
      <c r="D63" s="15" t="n">
        <v>1</v>
      </c>
      <c r="E63" s="19" t="n">
        <v>6</v>
      </c>
      <c r="F63" s="19" t="n">
        <v>7</v>
      </c>
      <c r="G63" s="19" t="n">
        <v>5</v>
      </c>
      <c r="H63" s="19" t="n">
        <v>5</v>
      </c>
      <c r="I63" s="19" t="n">
        <v>4</v>
      </c>
      <c r="J63" s="19" t="n">
        <v>6</v>
      </c>
      <c r="K63" s="19" t="n">
        <v>4</v>
      </c>
      <c r="L63" s="19" t="n">
        <v>6</v>
      </c>
      <c r="M63" s="19" t="n">
        <v>7</v>
      </c>
      <c r="N63" s="19" t="n">
        <v>6</v>
      </c>
      <c r="O63" s="19" t="n">
        <v>7</v>
      </c>
      <c r="P63" s="19" t="n">
        <v>7</v>
      </c>
      <c r="Q63" s="19" t="n">
        <v>6</v>
      </c>
      <c r="R63" s="19" t="n">
        <v>1</v>
      </c>
      <c r="S63" s="16" t="n">
        <v>7</v>
      </c>
      <c r="T63" s="16" t="n">
        <v>7</v>
      </c>
      <c r="U63" s="16" t="n">
        <v>6</v>
      </c>
      <c r="V63" s="16" t="n">
        <v>5</v>
      </c>
      <c r="W63" s="16" t="n">
        <v>3</v>
      </c>
      <c r="X63" s="16" t="n">
        <v>1</v>
      </c>
      <c r="Y63" s="16" t="n">
        <v>7</v>
      </c>
      <c r="Z63" s="19" t="n">
        <v>7</v>
      </c>
      <c r="AA63" s="14" t="n">
        <v>5.947368421</v>
      </c>
    </row>
    <row r="64" customFormat="false" ht="14.25" hidden="false" customHeight="false" outlineLevel="0" collapsed="false">
      <c r="A64" s="15" t="n">
        <v>16</v>
      </c>
      <c r="B64" s="15" t="s">
        <v>13</v>
      </c>
      <c r="C64" s="15" t="n">
        <v>2</v>
      </c>
      <c r="D64" s="15" t="n">
        <v>4</v>
      </c>
      <c r="E64" s="19" t="n">
        <v>6</v>
      </c>
      <c r="F64" s="19" t="n">
        <v>7</v>
      </c>
      <c r="G64" s="19" t="n">
        <v>5</v>
      </c>
      <c r="H64" s="19" t="n">
        <v>6</v>
      </c>
      <c r="I64" s="19" t="n">
        <v>6</v>
      </c>
      <c r="J64" s="19" t="n">
        <v>7</v>
      </c>
      <c r="K64" s="19" t="n">
        <v>5</v>
      </c>
      <c r="L64" s="19" t="n">
        <v>7</v>
      </c>
      <c r="M64" s="19" t="n">
        <v>7</v>
      </c>
      <c r="N64" s="19" t="n">
        <v>7</v>
      </c>
      <c r="O64" s="19" t="n">
        <v>7</v>
      </c>
      <c r="P64" s="19" t="n">
        <v>7</v>
      </c>
      <c r="Q64" s="19" t="n">
        <v>7</v>
      </c>
      <c r="R64" s="19" t="n">
        <v>1</v>
      </c>
      <c r="S64" s="16" t="n">
        <v>7</v>
      </c>
      <c r="T64" s="16" t="n">
        <v>7</v>
      </c>
      <c r="U64" s="16" t="n">
        <v>7</v>
      </c>
      <c r="V64" s="16" t="n">
        <v>1</v>
      </c>
      <c r="W64" s="16" t="n">
        <v>7</v>
      </c>
      <c r="X64" s="16" t="n">
        <v>1</v>
      </c>
      <c r="Y64" s="16" t="n">
        <v>7</v>
      </c>
      <c r="Z64" s="19" t="n">
        <v>7</v>
      </c>
      <c r="AA64" s="14" t="n">
        <v>6.631578947</v>
      </c>
    </row>
    <row r="65" customFormat="false" ht="14.25" hidden="false" customHeight="false" outlineLevel="0" collapsed="false">
      <c r="A65" s="15" t="n">
        <v>16</v>
      </c>
      <c r="B65" s="15" t="s">
        <v>14</v>
      </c>
      <c r="C65" s="15" t="n">
        <v>2</v>
      </c>
      <c r="D65" s="15" t="n">
        <v>3</v>
      </c>
      <c r="E65" s="19" t="n">
        <v>7</v>
      </c>
      <c r="F65" s="19" t="n">
        <v>7</v>
      </c>
      <c r="G65" s="19" t="n">
        <v>7</v>
      </c>
      <c r="H65" s="19" t="n">
        <v>6</v>
      </c>
      <c r="I65" s="19" t="n">
        <v>6</v>
      </c>
      <c r="J65" s="19" t="n">
        <v>7</v>
      </c>
      <c r="K65" s="19" t="n">
        <v>5</v>
      </c>
      <c r="L65" s="19" t="n">
        <v>7</v>
      </c>
      <c r="M65" s="19" t="n">
        <v>7</v>
      </c>
      <c r="N65" s="19" t="n">
        <v>7</v>
      </c>
      <c r="O65" s="19" t="n">
        <v>7</v>
      </c>
      <c r="P65" s="19" t="n">
        <v>7</v>
      </c>
      <c r="Q65" s="19" t="n">
        <v>7</v>
      </c>
      <c r="R65" s="19" t="n">
        <v>1</v>
      </c>
      <c r="S65" s="16" t="n">
        <v>7</v>
      </c>
      <c r="T65" s="16" t="n">
        <v>6</v>
      </c>
      <c r="U65" s="16" t="n">
        <v>7</v>
      </c>
      <c r="V65" s="16" t="n">
        <v>1</v>
      </c>
      <c r="W65" s="16" t="n">
        <v>7</v>
      </c>
      <c r="X65" s="16" t="n">
        <v>1</v>
      </c>
      <c r="Y65" s="16" t="n">
        <v>7</v>
      </c>
      <c r="Z65" s="19" t="n">
        <v>7</v>
      </c>
      <c r="AA65" s="14" t="n">
        <v>6.736842105</v>
      </c>
    </row>
    <row r="66" customFormat="false" ht="14.25" hidden="false" customHeight="false" outlineLevel="0" collapsed="false">
      <c r="A66" s="12" t="n">
        <v>17</v>
      </c>
      <c r="B66" s="12" t="s">
        <v>11</v>
      </c>
      <c r="C66" s="12" t="n">
        <v>4</v>
      </c>
      <c r="D66" s="12" t="n">
        <v>4</v>
      </c>
      <c r="E66" s="13" t="n">
        <v>5</v>
      </c>
      <c r="F66" s="13" t="n">
        <v>5</v>
      </c>
      <c r="G66" s="13" t="n">
        <v>5</v>
      </c>
      <c r="H66" s="13" t="n">
        <v>6</v>
      </c>
      <c r="I66" s="13" t="n">
        <v>5</v>
      </c>
      <c r="J66" s="13" t="n">
        <v>5</v>
      </c>
      <c r="K66" s="13" t="n">
        <v>5</v>
      </c>
      <c r="L66" s="13" t="n">
        <v>4</v>
      </c>
      <c r="M66" s="13" t="n">
        <v>5</v>
      </c>
      <c r="N66" s="13" t="n">
        <v>5</v>
      </c>
      <c r="O66" s="13" t="n">
        <v>5</v>
      </c>
      <c r="P66" s="13" t="n">
        <v>5</v>
      </c>
      <c r="Q66" s="13" t="n">
        <v>2</v>
      </c>
      <c r="R66" s="13" t="n">
        <v>1</v>
      </c>
      <c r="S66" s="13" t="n">
        <v>7</v>
      </c>
      <c r="T66" s="13" t="n">
        <v>7</v>
      </c>
      <c r="U66" s="13" t="n">
        <v>7</v>
      </c>
      <c r="V66" s="13" t="n">
        <v>1</v>
      </c>
      <c r="W66" s="13" t="n">
        <v>7</v>
      </c>
      <c r="X66" s="13" t="n">
        <v>7</v>
      </c>
      <c r="Y66" s="13" t="n">
        <v>1</v>
      </c>
      <c r="Z66" s="13" t="n">
        <v>4</v>
      </c>
      <c r="AA66" s="14" t="n">
        <v>5</v>
      </c>
    </row>
    <row r="67" customFormat="false" ht="14.25" hidden="false" customHeight="false" outlineLevel="0" collapsed="false">
      <c r="A67" s="12" t="n">
        <v>17</v>
      </c>
      <c r="B67" s="12" t="s">
        <v>12</v>
      </c>
      <c r="C67" s="12" t="n">
        <v>4</v>
      </c>
      <c r="D67" s="12" t="n">
        <v>3</v>
      </c>
      <c r="E67" s="13" t="n">
        <v>5</v>
      </c>
      <c r="F67" s="13" t="n">
        <v>6</v>
      </c>
      <c r="G67" s="13" t="n">
        <v>4</v>
      </c>
      <c r="H67" s="13" t="n">
        <v>4</v>
      </c>
      <c r="I67" s="13" t="n">
        <v>5</v>
      </c>
      <c r="J67" s="13" t="n">
        <v>5</v>
      </c>
      <c r="K67" s="13" t="n">
        <v>6</v>
      </c>
      <c r="L67" s="13" t="n">
        <v>6</v>
      </c>
      <c r="M67" s="13" t="n">
        <v>4</v>
      </c>
      <c r="N67" s="13" t="n">
        <v>4</v>
      </c>
      <c r="O67" s="13" t="n">
        <v>5</v>
      </c>
      <c r="P67" s="13" t="n">
        <v>6</v>
      </c>
      <c r="Q67" s="13" t="n">
        <v>3</v>
      </c>
      <c r="R67" s="13" t="n">
        <v>1</v>
      </c>
      <c r="S67" s="13" t="n">
        <v>7</v>
      </c>
      <c r="T67" s="13" t="n">
        <v>7</v>
      </c>
      <c r="U67" s="13" t="n">
        <v>6</v>
      </c>
      <c r="V67" s="13" t="n">
        <v>1</v>
      </c>
      <c r="W67" s="13" t="n">
        <v>7</v>
      </c>
      <c r="X67" s="13" t="n">
        <v>6</v>
      </c>
      <c r="Y67" s="13" t="n">
        <v>2</v>
      </c>
      <c r="Z67" s="13" t="n">
        <v>5</v>
      </c>
      <c r="AA67" s="14" t="n">
        <v>5.105263158</v>
      </c>
    </row>
    <row r="68" customFormat="false" ht="14.25" hidden="false" customHeight="false" outlineLevel="0" collapsed="false">
      <c r="A68" s="12" t="n">
        <v>17</v>
      </c>
      <c r="B68" s="12" t="s">
        <v>13</v>
      </c>
      <c r="C68" s="12" t="n">
        <v>4</v>
      </c>
      <c r="D68" s="12" t="n">
        <v>2</v>
      </c>
      <c r="E68" s="13" t="n">
        <v>6</v>
      </c>
      <c r="F68" s="13" t="n">
        <v>6</v>
      </c>
      <c r="G68" s="13" t="n">
        <v>6</v>
      </c>
      <c r="H68" s="13" t="n">
        <v>6</v>
      </c>
      <c r="I68" s="13" t="n">
        <v>6</v>
      </c>
      <c r="J68" s="13" t="n">
        <v>6</v>
      </c>
      <c r="K68" s="13" t="n">
        <v>6</v>
      </c>
      <c r="L68" s="13" t="n">
        <v>7</v>
      </c>
      <c r="M68" s="13" t="n">
        <v>6</v>
      </c>
      <c r="N68" s="13" t="n">
        <v>5</v>
      </c>
      <c r="O68" s="13" t="n">
        <v>6</v>
      </c>
      <c r="P68" s="13" t="n">
        <v>5</v>
      </c>
      <c r="Q68" s="13" t="n">
        <v>6</v>
      </c>
      <c r="R68" s="13" t="n">
        <v>2</v>
      </c>
      <c r="S68" s="13" t="n">
        <v>6</v>
      </c>
      <c r="T68" s="13" t="n">
        <v>7</v>
      </c>
      <c r="U68" s="13" t="n">
        <v>7</v>
      </c>
      <c r="V68" s="13" t="n">
        <v>1</v>
      </c>
      <c r="W68" s="13" t="n">
        <v>7</v>
      </c>
      <c r="X68" s="13" t="n">
        <v>1</v>
      </c>
      <c r="Y68" s="13" t="n">
        <v>7</v>
      </c>
      <c r="Z68" s="13" t="n">
        <v>7</v>
      </c>
      <c r="AA68" s="14" t="n">
        <v>6.210526316</v>
      </c>
    </row>
    <row r="69" customFormat="false" ht="14.25" hidden="false" customHeight="false" outlineLevel="0" collapsed="false">
      <c r="A69" s="12" t="n">
        <v>17</v>
      </c>
      <c r="B69" s="12" t="s">
        <v>14</v>
      </c>
      <c r="C69" s="12" t="n">
        <v>4</v>
      </c>
      <c r="D69" s="12" t="n">
        <v>1</v>
      </c>
      <c r="E69" s="13" t="n">
        <v>6</v>
      </c>
      <c r="F69" s="13" t="n">
        <v>7</v>
      </c>
      <c r="G69" s="13" t="n">
        <v>6</v>
      </c>
      <c r="H69" s="13" t="n">
        <v>4</v>
      </c>
      <c r="I69" s="13" t="n">
        <v>5</v>
      </c>
      <c r="J69" s="13" t="n">
        <v>5</v>
      </c>
      <c r="K69" s="13" t="n">
        <v>5</v>
      </c>
      <c r="L69" s="13" t="n">
        <v>7</v>
      </c>
      <c r="M69" s="13" t="n">
        <v>6</v>
      </c>
      <c r="N69" s="13" t="n">
        <v>4</v>
      </c>
      <c r="O69" s="13" t="n">
        <v>5</v>
      </c>
      <c r="P69" s="13" t="n">
        <v>6</v>
      </c>
      <c r="Q69" s="13" t="n">
        <v>5</v>
      </c>
      <c r="R69" s="13" t="n">
        <v>2</v>
      </c>
      <c r="S69" s="13" t="n">
        <v>6</v>
      </c>
      <c r="T69" s="13" t="n">
        <v>7</v>
      </c>
      <c r="U69" s="13" t="n">
        <v>7</v>
      </c>
      <c r="V69" s="13" t="n">
        <v>2</v>
      </c>
      <c r="W69" s="13" t="n">
        <v>6</v>
      </c>
      <c r="X69" s="13" t="n">
        <v>8</v>
      </c>
      <c r="Y69" s="13" t="n">
        <v>0</v>
      </c>
      <c r="Z69" s="13" t="n">
        <v>5</v>
      </c>
      <c r="AA69" s="14" t="n">
        <v>5.368421053</v>
      </c>
    </row>
    <row r="70" customFormat="false" ht="14.25" hidden="false" customHeight="false" outlineLevel="0" collapsed="false">
      <c r="A70" s="15" t="n">
        <v>18</v>
      </c>
      <c r="B70" s="15" t="s">
        <v>11</v>
      </c>
      <c r="C70" s="15" t="n">
        <v>3</v>
      </c>
      <c r="D70" s="15" t="n">
        <v>3</v>
      </c>
      <c r="E70" s="19" t="n">
        <v>7</v>
      </c>
      <c r="F70" s="19" t="n">
        <v>7</v>
      </c>
      <c r="G70" s="19" t="n">
        <v>6</v>
      </c>
      <c r="H70" s="19" t="n">
        <v>7</v>
      </c>
      <c r="I70" s="19" t="n">
        <v>7</v>
      </c>
      <c r="J70" s="19" t="n">
        <v>6</v>
      </c>
      <c r="K70" s="19" t="n">
        <v>6</v>
      </c>
      <c r="L70" s="19" t="n">
        <v>7</v>
      </c>
      <c r="M70" s="19" t="n">
        <v>6</v>
      </c>
      <c r="N70" s="19" t="n">
        <v>6</v>
      </c>
      <c r="O70" s="19" t="n">
        <v>6</v>
      </c>
      <c r="P70" s="19" t="n">
        <v>6</v>
      </c>
      <c r="Q70" s="19" t="n">
        <v>6</v>
      </c>
      <c r="R70" s="19" t="n">
        <v>1</v>
      </c>
      <c r="S70" s="16" t="n">
        <v>7</v>
      </c>
      <c r="T70" s="16" t="n">
        <v>7</v>
      </c>
      <c r="U70" s="16" t="n">
        <v>6</v>
      </c>
      <c r="V70" s="16" t="n">
        <v>1</v>
      </c>
      <c r="W70" s="16" t="n">
        <v>7</v>
      </c>
      <c r="X70" s="16" t="n">
        <v>1</v>
      </c>
      <c r="Y70" s="16" t="n">
        <v>7</v>
      </c>
      <c r="Z70" s="19" t="n">
        <v>6</v>
      </c>
      <c r="AA70" s="14" t="n">
        <v>6.473684211</v>
      </c>
    </row>
    <row r="71" customFormat="false" ht="14.25" hidden="false" customHeight="false" outlineLevel="0" collapsed="false">
      <c r="A71" s="15" t="n">
        <v>18</v>
      </c>
      <c r="B71" s="15" t="s">
        <v>12</v>
      </c>
      <c r="C71" s="15" t="n">
        <v>3</v>
      </c>
      <c r="D71" s="15" t="n">
        <v>4</v>
      </c>
      <c r="E71" s="19" t="n">
        <v>7</v>
      </c>
      <c r="F71" s="19" t="n">
        <v>6</v>
      </c>
      <c r="G71" s="19" t="n">
        <v>6</v>
      </c>
      <c r="H71" s="19" t="n">
        <v>6</v>
      </c>
      <c r="I71" s="19" t="n">
        <v>7</v>
      </c>
      <c r="J71" s="19" t="n">
        <v>6</v>
      </c>
      <c r="K71" s="19" t="n">
        <v>6</v>
      </c>
      <c r="L71" s="19" t="n">
        <v>6</v>
      </c>
      <c r="M71" s="19" t="n">
        <v>6</v>
      </c>
      <c r="N71" s="19" t="n">
        <v>7</v>
      </c>
      <c r="O71" s="19" t="n">
        <v>6</v>
      </c>
      <c r="P71" s="19" t="n">
        <v>6</v>
      </c>
      <c r="Q71" s="19" t="n">
        <v>5</v>
      </c>
      <c r="R71" s="19" t="n">
        <v>1</v>
      </c>
      <c r="S71" s="16" t="n">
        <v>7</v>
      </c>
      <c r="T71" s="16" t="n">
        <v>7</v>
      </c>
      <c r="U71" s="16" t="n">
        <v>7</v>
      </c>
      <c r="V71" s="16" t="n">
        <v>1</v>
      </c>
      <c r="W71" s="16" t="n">
        <v>7</v>
      </c>
      <c r="X71" s="16" t="n">
        <v>1</v>
      </c>
      <c r="Y71" s="16" t="n">
        <v>7</v>
      </c>
      <c r="Z71" s="19" t="n">
        <v>6</v>
      </c>
      <c r="AA71" s="14" t="n">
        <v>6.368421053</v>
      </c>
    </row>
    <row r="72" customFormat="false" ht="14.25" hidden="false" customHeight="false" outlineLevel="0" collapsed="false">
      <c r="A72" s="15" t="n">
        <v>18</v>
      </c>
      <c r="B72" s="15" t="s">
        <v>13</v>
      </c>
      <c r="C72" s="15" t="n">
        <v>3</v>
      </c>
      <c r="D72" s="15" t="n">
        <v>1</v>
      </c>
      <c r="E72" s="19" t="n">
        <v>6</v>
      </c>
      <c r="F72" s="19" t="n">
        <v>6</v>
      </c>
      <c r="G72" s="19" t="n">
        <v>7</v>
      </c>
      <c r="H72" s="19" t="n">
        <v>6</v>
      </c>
      <c r="I72" s="19" t="n">
        <v>7</v>
      </c>
      <c r="J72" s="19" t="n">
        <v>6</v>
      </c>
      <c r="K72" s="19" t="n">
        <v>6</v>
      </c>
      <c r="L72" s="19" t="n">
        <v>6</v>
      </c>
      <c r="M72" s="19" t="n">
        <v>6</v>
      </c>
      <c r="N72" s="19" t="n">
        <v>7</v>
      </c>
      <c r="O72" s="19" t="n">
        <v>5</v>
      </c>
      <c r="P72" s="19" t="n">
        <v>5</v>
      </c>
      <c r="Q72" s="19" t="n">
        <v>6</v>
      </c>
      <c r="R72" s="19" t="n">
        <v>1</v>
      </c>
      <c r="S72" s="16" t="n">
        <v>7</v>
      </c>
      <c r="T72" s="16" t="n">
        <v>5</v>
      </c>
      <c r="U72" s="16" t="n">
        <v>5</v>
      </c>
      <c r="V72" s="16" t="n">
        <v>6</v>
      </c>
      <c r="W72" s="16" t="n">
        <v>2</v>
      </c>
      <c r="X72" s="16" t="n">
        <v>6</v>
      </c>
      <c r="Y72" s="16" t="n">
        <v>2</v>
      </c>
      <c r="Z72" s="19" t="n">
        <v>6</v>
      </c>
      <c r="AA72" s="14" t="n">
        <v>5.578947368</v>
      </c>
    </row>
    <row r="73" customFormat="false" ht="14.25" hidden="false" customHeight="false" outlineLevel="0" collapsed="false">
      <c r="A73" s="15" t="n">
        <v>18</v>
      </c>
      <c r="B73" s="15" t="s">
        <v>14</v>
      </c>
      <c r="C73" s="15" t="n">
        <v>3</v>
      </c>
      <c r="D73" s="15" t="n">
        <v>2</v>
      </c>
      <c r="E73" s="19" t="n">
        <v>7</v>
      </c>
      <c r="F73" s="19" t="n">
        <v>7</v>
      </c>
      <c r="G73" s="19" t="n">
        <v>6</v>
      </c>
      <c r="H73" s="19" t="n">
        <v>6</v>
      </c>
      <c r="I73" s="19" t="n">
        <v>7</v>
      </c>
      <c r="J73" s="19" t="n">
        <v>7</v>
      </c>
      <c r="K73" s="19" t="n">
        <v>6</v>
      </c>
      <c r="L73" s="19" t="n">
        <v>7</v>
      </c>
      <c r="M73" s="19" t="n">
        <v>6</v>
      </c>
      <c r="N73" s="19" t="n">
        <v>7</v>
      </c>
      <c r="O73" s="19" t="n">
        <v>7</v>
      </c>
      <c r="P73" s="19" t="n">
        <v>6</v>
      </c>
      <c r="Q73" s="19" t="n">
        <v>6</v>
      </c>
      <c r="R73" s="19" t="n">
        <v>1</v>
      </c>
      <c r="S73" s="16" t="n">
        <v>7</v>
      </c>
      <c r="T73" s="16" t="n">
        <v>7</v>
      </c>
      <c r="U73" s="16" t="n">
        <v>7</v>
      </c>
      <c r="V73" s="16" t="n">
        <v>1</v>
      </c>
      <c r="W73" s="16" t="n">
        <v>7</v>
      </c>
      <c r="X73" s="16" t="n">
        <v>8</v>
      </c>
      <c r="Y73" s="16" t="n">
        <v>0</v>
      </c>
      <c r="Z73" s="19" t="n">
        <v>6</v>
      </c>
      <c r="AA73" s="14" t="n">
        <v>6.263157895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42" activeCellId="0" sqref="F42"/>
    </sheetView>
  </sheetViews>
  <sheetFormatPr defaultColWidth="8.34375" defaultRowHeight="14.25" customHeight="true" zeroHeight="false" outlineLevelRow="0" outlineLevelCol="0"/>
  <cols>
    <col collapsed="false" customWidth="true" hidden="false" outlineLevel="0" max="1" min="1" style="8" width="12.91"/>
    <col collapsed="false" customWidth="true" hidden="false" outlineLevel="0" max="2" min="2" style="8" width="18.73"/>
    <col collapsed="false" customWidth="true" hidden="false" outlineLevel="0" max="3" min="3" style="8" width="13.73"/>
    <col collapsed="false" customWidth="true" hidden="false" outlineLevel="0" max="4" min="4" style="1" width="11.54"/>
    <col collapsed="false" customWidth="true" hidden="false" outlineLevel="0" max="5" min="5" style="1" width="8.82"/>
    <col collapsed="false" customWidth="true" hidden="false" outlineLevel="0" max="6" min="6" style="1" width="10.82"/>
  </cols>
  <sheetData>
    <row r="1" s="21" customFormat="true" ht="14.25" hidden="false" customHeight="false" outlineLevel="0" collapsed="false">
      <c r="A1" s="9" t="s">
        <v>0</v>
      </c>
      <c r="B1" s="9" t="s">
        <v>1</v>
      </c>
      <c r="C1" s="11" t="s">
        <v>39</v>
      </c>
      <c r="D1" s="20" t="s">
        <v>4</v>
      </c>
      <c r="E1" s="20" t="s">
        <v>5</v>
      </c>
      <c r="F1" s="20" t="s">
        <v>6</v>
      </c>
    </row>
    <row r="2" customFormat="false" ht="14.25" hidden="false" customHeight="false" outlineLevel="0" collapsed="false">
      <c r="A2" s="12" t="n">
        <v>1</v>
      </c>
      <c r="B2" s="12" t="s">
        <v>11</v>
      </c>
      <c r="C2" s="14" t="n">
        <v>5.894736842</v>
      </c>
      <c r="D2" s="3" t="n">
        <v>3</v>
      </c>
      <c r="E2" s="3" t="n">
        <v>2.5</v>
      </c>
      <c r="F2" s="3" t="n">
        <f aca="false">E2-D2</f>
        <v>-0.5</v>
      </c>
    </row>
    <row r="3" customFormat="false" ht="14.25" hidden="false" customHeight="false" outlineLevel="0" collapsed="false">
      <c r="A3" s="12" t="n">
        <v>1</v>
      </c>
      <c r="B3" s="12" t="s">
        <v>12</v>
      </c>
      <c r="C3" s="14" t="n">
        <v>5.578947368</v>
      </c>
      <c r="D3" s="3" t="n">
        <v>3</v>
      </c>
      <c r="E3" s="3" t="n">
        <v>2</v>
      </c>
      <c r="F3" s="3" t="n">
        <f aca="false">E3-D3</f>
        <v>-1</v>
      </c>
    </row>
    <row r="4" customFormat="false" ht="14.25" hidden="false" customHeight="false" outlineLevel="0" collapsed="false">
      <c r="A4" s="12" t="n">
        <v>1</v>
      </c>
      <c r="B4" s="12" t="s">
        <v>13</v>
      </c>
      <c r="C4" s="14" t="n">
        <v>5.947368421</v>
      </c>
      <c r="D4" s="3" t="n">
        <v>3</v>
      </c>
      <c r="E4" s="3" t="n">
        <v>3</v>
      </c>
      <c r="F4" s="3" t="n">
        <f aca="false">E4-D4</f>
        <v>0</v>
      </c>
    </row>
    <row r="5" customFormat="false" ht="14.25" hidden="false" customHeight="false" outlineLevel="0" collapsed="false">
      <c r="A5" s="12" t="n">
        <v>1</v>
      </c>
      <c r="B5" s="12" t="s">
        <v>14</v>
      </c>
      <c r="C5" s="14" t="n">
        <v>6.105263158</v>
      </c>
      <c r="D5" s="3" t="n">
        <v>3</v>
      </c>
      <c r="E5" s="3" t="n">
        <v>1.7</v>
      </c>
      <c r="F5" s="3" t="n">
        <f aca="false">E5-D5</f>
        <v>-1.3</v>
      </c>
    </row>
    <row r="6" customFormat="false" ht="14.25" hidden="false" customHeight="false" outlineLevel="0" collapsed="false">
      <c r="A6" s="15" t="n">
        <v>2</v>
      </c>
      <c r="B6" s="15" t="s">
        <v>11</v>
      </c>
      <c r="C6" s="14" t="n">
        <v>6.052631579</v>
      </c>
      <c r="D6" s="22" t="n">
        <v>4</v>
      </c>
      <c r="E6" s="22" t="n">
        <v>2</v>
      </c>
      <c r="F6" s="22" t="n">
        <f aca="false">E6-D6</f>
        <v>-2</v>
      </c>
    </row>
    <row r="7" customFormat="false" ht="14.25" hidden="false" customHeight="false" outlineLevel="0" collapsed="false">
      <c r="A7" s="15" t="n">
        <v>2</v>
      </c>
      <c r="B7" s="15" t="s">
        <v>12</v>
      </c>
      <c r="C7" s="14" t="n">
        <v>5.578947368</v>
      </c>
      <c r="D7" s="22" t="n">
        <v>4</v>
      </c>
      <c r="E7" s="22" t="n">
        <v>3</v>
      </c>
      <c r="F7" s="22" t="n">
        <f aca="false">E7-D7</f>
        <v>-1</v>
      </c>
    </row>
    <row r="8" customFormat="false" ht="14.25" hidden="false" customHeight="false" outlineLevel="0" collapsed="false">
      <c r="A8" s="15" t="n">
        <v>2</v>
      </c>
      <c r="B8" s="15" t="s">
        <v>13</v>
      </c>
      <c r="C8" s="14" t="n">
        <v>5.263157895</v>
      </c>
      <c r="D8" s="22" t="n">
        <v>4</v>
      </c>
      <c r="E8" s="22" t="n">
        <v>2</v>
      </c>
      <c r="F8" s="22" t="n">
        <f aca="false">E8-D8</f>
        <v>-2</v>
      </c>
    </row>
    <row r="9" customFormat="false" ht="14.25" hidden="false" customHeight="false" outlineLevel="0" collapsed="false">
      <c r="A9" s="15" t="n">
        <v>2</v>
      </c>
      <c r="B9" s="15" t="s">
        <v>14</v>
      </c>
      <c r="C9" s="14" t="n">
        <v>5.105263158</v>
      </c>
      <c r="D9" s="22" t="n">
        <v>4</v>
      </c>
      <c r="E9" s="22" t="n">
        <v>2</v>
      </c>
      <c r="F9" s="22" t="n">
        <f aca="false">E9-D9</f>
        <v>-2</v>
      </c>
    </row>
    <row r="10" customFormat="false" ht="14.25" hidden="false" customHeight="false" outlineLevel="0" collapsed="false">
      <c r="A10" s="12" t="n">
        <v>3</v>
      </c>
      <c r="B10" s="12" t="s">
        <v>11</v>
      </c>
      <c r="C10" s="14" t="n">
        <v>5.473684211</v>
      </c>
      <c r="D10" s="3" t="n">
        <v>0.8</v>
      </c>
      <c r="E10" s="3" t="n">
        <v>5</v>
      </c>
      <c r="F10" s="3" t="n">
        <f aca="false">E10-D10</f>
        <v>4.2</v>
      </c>
    </row>
    <row r="11" customFormat="false" ht="14.25" hidden="false" customHeight="false" outlineLevel="0" collapsed="false">
      <c r="A11" s="12" t="n">
        <v>3</v>
      </c>
      <c r="B11" s="12" t="s">
        <v>12</v>
      </c>
      <c r="C11" s="14" t="n">
        <v>5.947368421</v>
      </c>
      <c r="D11" s="3" t="n">
        <v>0.8</v>
      </c>
      <c r="E11" s="3" t="n">
        <v>2</v>
      </c>
      <c r="F11" s="3" t="n">
        <f aca="false">E11-D11</f>
        <v>1.2</v>
      </c>
    </row>
    <row r="12" customFormat="false" ht="14.25" hidden="false" customHeight="false" outlineLevel="0" collapsed="false">
      <c r="A12" s="12" t="n">
        <v>3</v>
      </c>
      <c r="B12" s="12" t="s">
        <v>13</v>
      </c>
      <c r="C12" s="14" t="n">
        <v>6.315789474</v>
      </c>
      <c r="D12" s="3" t="n">
        <v>0.8</v>
      </c>
      <c r="E12" s="3" t="n">
        <v>1</v>
      </c>
      <c r="F12" s="3" t="n">
        <f aca="false">E12-D12</f>
        <v>0.2</v>
      </c>
    </row>
    <row r="13" customFormat="false" ht="14.25" hidden="false" customHeight="false" outlineLevel="0" collapsed="false">
      <c r="A13" s="12" t="n">
        <v>3</v>
      </c>
      <c r="B13" s="12" t="s">
        <v>14</v>
      </c>
      <c r="C13" s="14" t="n">
        <v>6.105263158</v>
      </c>
      <c r="D13" s="3" t="n">
        <v>0.8</v>
      </c>
      <c r="E13" s="3" t="n">
        <v>2</v>
      </c>
      <c r="F13" s="3" t="n">
        <f aca="false">E13-D13</f>
        <v>1.2</v>
      </c>
    </row>
    <row r="14" customFormat="false" ht="14.25" hidden="false" customHeight="false" outlineLevel="0" collapsed="false">
      <c r="A14" s="23" t="n">
        <v>4</v>
      </c>
      <c r="B14" s="23" t="s">
        <v>11</v>
      </c>
      <c r="C14" s="24" t="n">
        <v>5.263157895</v>
      </c>
      <c r="D14" s="25" t="n">
        <v>5</v>
      </c>
      <c r="E14" s="25" t="n">
        <v>5</v>
      </c>
      <c r="F14" s="25" t="n">
        <f aca="false">E14-D14</f>
        <v>0</v>
      </c>
    </row>
    <row r="15" customFormat="false" ht="14.25" hidden="false" customHeight="false" outlineLevel="0" collapsed="false">
      <c r="A15" s="23" t="n">
        <v>4</v>
      </c>
      <c r="B15" s="23" t="s">
        <v>12</v>
      </c>
      <c r="C15" s="24" t="n">
        <v>4.842105263</v>
      </c>
      <c r="D15" s="25" t="n">
        <v>5</v>
      </c>
      <c r="E15" s="25" t="n">
        <v>5</v>
      </c>
      <c r="F15" s="25" t="n">
        <f aca="false">E15-D15</f>
        <v>0</v>
      </c>
    </row>
    <row r="16" customFormat="false" ht="14.25" hidden="false" customHeight="false" outlineLevel="0" collapsed="false">
      <c r="A16" s="23" t="n">
        <v>4</v>
      </c>
      <c r="B16" s="23" t="s">
        <v>13</v>
      </c>
      <c r="C16" s="24" t="n">
        <v>4.736842105</v>
      </c>
      <c r="D16" s="25" t="n">
        <v>5</v>
      </c>
      <c r="E16" s="25" t="n">
        <v>4</v>
      </c>
      <c r="F16" s="25" t="n">
        <f aca="false">E16-D16</f>
        <v>-1</v>
      </c>
    </row>
    <row r="17" customFormat="false" ht="14.25" hidden="false" customHeight="false" outlineLevel="0" collapsed="false">
      <c r="A17" s="23" t="n">
        <v>4</v>
      </c>
      <c r="B17" s="23" t="s">
        <v>14</v>
      </c>
      <c r="C17" s="24" t="n">
        <v>5.105263158</v>
      </c>
      <c r="D17" s="25" t="n">
        <v>5</v>
      </c>
      <c r="E17" s="25" t="n">
        <v>5</v>
      </c>
      <c r="F17" s="25" t="n">
        <f aca="false">E17-D17</f>
        <v>0</v>
      </c>
    </row>
    <row r="18" customFormat="false" ht="14.25" hidden="false" customHeight="false" outlineLevel="0" collapsed="false">
      <c r="A18" s="23" t="n">
        <v>5</v>
      </c>
      <c r="B18" s="23" t="s">
        <v>11</v>
      </c>
      <c r="C18" s="24" t="n">
        <v>8</v>
      </c>
      <c r="D18" s="25" t="n">
        <v>4</v>
      </c>
      <c r="E18" s="25" t="s">
        <v>16</v>
      </c>
      <c r="F18" s="25" t="e">
        <f aca="false">E18-D18</f>
        <v>#VALUE!</v>
      </c>
    </row>
    <row r="19" customFormat="false" ht="14.25" hidden="false" customHeight="false" outlineLevel="0" collapsed="false">
      <c r="A19" s="23" t="n">
        <v>5</v>
      </c>
      <c r="B19" s="23" t="s">
        <v>12</v>
      </c>
      <c r="C19" s="24" t="n">
        <v>8</v>
      </c>
      <c r="D19" s="25" t="n">
        <v>4</v>
      </c>
      <c r="E19" s="25" t="s">
        <v>16</v>
      </c>
      <c r="F19" s="25" t="e">
        <f aca="false">E19-D19</f>
        <v>#VALUE!</v>
      </c>
    </row>
    <row r="20" customFormat="false" ht="14.25" hidden="false" customHeight="false" outlineLevel="0" collapsed="false">
      <c r="A20" s="23" t="n">
        <v>5</v>
      </c>
      <c r="B20" s="23" t="s">
        <v>13</v>
      </c>
      <c r="C20" s="24" t="n">
        <v>8</v>
      </c>
      <c r="D20" s="25" t="n">
        <v>4</v>
      </c>
      <c r="E20" s="25" t="n">
        <v>4</v>
      </c>
      <c r="F20" s="25" t="n">
        <f aca="false">E20-D20</f>
        <v>0</v>
      </c>
    </row>
    <row r="21" customFormat="false" ht="14.25" hidden="false" customHeight="false" outlineLevel="0" collapsed="false">
      <c r="A21" s="23" t="n">
        <v>5</v>
      </c>
      <c r="B21" s="23" t="s">
        <v>14</v>
      </c>
      <c r="C21" s="24" t="n">
        <v>8</v>
      </c>
      <c r="D21" s="25" t="n">
        <v>4</v>
      </c>
      <c r="E21" s="25" t="n">
        <v>5</v>
      </c>
      <c r="F21" s="25" t="n">
        <f aca="false">E21-D21</f>
        <v>1</v>
      </c>
    </row>
    <row r="22" customFormat="false" ht="14.25" hidden="false" customHeight="false" outlineLevel="0" collapsed="false">
      <c r="A22" s="15" t="n">
        <v>6</v>
      </c>
      <c r="B22" s="15" t="s">
        <v>11</v>
      </c>
      <c r="C22" s="14" t="n">
        <v>4.052631579</v>
      </c>
      <c r="D22" s="22" t="n">
        <v>2.5</v>
      </c>
      <c r="E22" s="22" t="n">
        <v>4</v>
      </c>
      <c r="F22" s="22" t="n">
        <f aca="false">E22-D22</f>
        <v>1.5</v>
      </c>
    </row>
    <row r="23" customFormat="false" ht="14.25" hidden="false" customHeight="false" outlineLevel="0" collapsed="false">
      <c r="A23" s="15" t="n">
        <v>6</v>
      </c>
      <c r="B23" s="15" t="s">
        <v>12</v>
      </c>
      <c r="C23" s="14" t="n">
        <v>4.736842105</v>
      </c>
      <c r="D23" s="22" t="n">
        <v>2.5</v>
      </c>
      <c r="E23" s="22" t="n">
        <v>1</v>
      </c>
      <c r="F23" s="22" t="n">
        <f aca="false">E23-D23</f>
        <v>-1.5</v>
      </c>
    </row>
    <row r="24" customFormat="false" ht="14.25" hidden="false" customHeight="false" outlineLevel="0" collapsed="false">
      <c r="A24" s="15" t="n">
        <v>6</v>
      </c>
      <c r="B24" s="15" t="s">
        <v>13</v>
      </c>
      <c r="C24" s="14" t="n">
        <v>5.263157895</v>
      </c>
      <c r="D24" s="22" t="n">
        <v>2.5</v>
      </c>
      <c r="E24" s="22" t="n">
        <v>2.5</v>
      </c>
      <c r="F24" s="22" t="n">
        <f aca="false">E24-D24</f>
        <v>0</v>
      </c>
    </row>
    <row r="25" customFormat="false" ht="14.25" hidden="false" customHeight="false" outlineLevel="0" collapsed="false">
      <c r="A25" s="15" t="n">
        <v>6</v>
      </c>
      <c r="B25" s="15" t="s">
        <v>14</v>
      </c>
      <c r="C25" s="14" t="n">
        <v>5.368421053</v>
      </c>
      <c r="D25" s="22" t="n">
        <v>2.5</v>
      </c>
      <c r="E25" s="22" t="n">
        <v>1.5</v>
      </c>
      <c r="F25" s="22" t="n">
        <f aca="false">E25-D25</f>
        <v>-1</v>
      </c>
    </row>
    <row r="26" customFormat="false" ht="14.25" hidden="false" customHeight="false" outlineLevel="0" collapsed="false">
      <c r="A26" s="12" t="n">
        <v>7</v>
      </c>
      <c r="B26" s="12" t="s">
        <v>11</v>
      </c>
      <c r="C26" s="14" t="n">
        <v>6.368421053</v>
      </c>
      <c r="D26" s="3" t="n">
        <v>5</v>
      </c>
      <c r="E26" s="3" t="n">
        <v>3</v>
      </c>
      <c r="F26" s="3" t="n">
        <f aca="false">E26-D26</f>
        <v>-2</v>
      </c>
    </row>
    <row r="27" customFormat="false" ht="14.25" hidden="false" customHeight="false" outlineLevel="0" collapsed="false">
      <c r="A27" s="12" t="n">
        <v>7</v>
      </c>
      <c r="B27" s="12" t="s">
        <v>12</v>
      </c>
      <c r="C27" s="14" t="n">
        <v>6.368421053</v>
      </c>
      <c r="D27" s="3" t="n">
        <v>5</v>
      </c>
      <c r="E27" s="3" t="n">
        <v>4</v>
      </c>
      <c r="F27" s="3" t="n">
        <f aca="false">E27-D27</f>
        <v>-1</v>
      </c>
    </row>
    <row r="28" customFormat="false" ht="14.25" hidden="false" customHeight="false" outlineLevel="0" collapsed="false">
      <c r="A28" s="12" t="n">
        <v>7</v>
      </c>
      <c r="B28" s="12" t="s">
        <v>13</v>
      </c>
      <c r="C28" s="14" t="n">
        <v>7</v>
      </c>
      <c r="D28" s="3" t="n">
        <v>5</v>
      </c>
      <c r="E28" s="3" t="n">
        <v>2.8</v>
      </c>
      <c r="F28" s="3" t="n">
        <f aca="false">E28-D28</f>
        <v>-2.2</v>
      </c>
    </row>
    <row r="29" customFormat="false" ht="14.25" hidden="false" customHeight="false" outlineLevel="0" collapsed="false">
      <c r="A29" s="12" t="n">
        <v>7</v>
      </c>
      <c r="B29" s="12" t="s">
        <v>14</v>
      </c>
      <c r="C29" s="14" t="n">
        <v>6.263157895</v>
      </c>
      <c r="D29" s="3" t="n">
        <v>5</v>
      </c>
      <c r="E29" s="3" t="n">
        <v>2</v>
      </c>
      <c r="F29" s="3" t="n">
        <f aca="false">E29-D29</f>
        <v>-3</v>
      </c>
    </row>
    <row r="30" customFormat="false" ht="14.25" hidden="false" customHeight="false" outlineLevel="0" collapsed="false">
      <c r="A30" s="15" t="n">
        <v>8</v>
      </c>
      <c r="B30" s="15" t="s">
        <v>11</v>
      </c>
      <c r="C30" s="14" t="n">
        <v>6.263157895</v>
      </c>
      <c r="D30" s="22" t="n">
        <v>6</v>
      </c>
      <c r="E30" s="22" t="n">
        <v>3</v>
      </c>
      <c r="F30" s="22" t="n">
        <f aca="false">E30-D30</f>
        <v>-3</v>
      </c>
    </row>
    <row r="31" customFormat="false" ht="14.25" hidden="false" customHeight="false" outlineLevel="0" collapsed="false">
      <c r="A31" s="15" t="n">
        <v>8</v>
      </c>
      <c r="B31" s="15" t="s">
        <v>12</v>
      </c>
      <c r="C31" s="14" t="n">
        <v>6.157894737</v>
      </c>
      <c r="D31" s="22" t="n">
        <v>6</v>
      </c>
      <c r="E31" s="22" t="n">
        <v>5</v>
      </c>
      <c r="F31" s="22" t="n">
        <f aca="false">E31-D31</f>
        <v>-1</v>
      </c>
    </row>
    <row r="32" customFormat="false" ht="14.25" hidden="false" customHeight="false" outlineLevel="0" collapsed="false">
      <c r="A32" s="15" t="n">
        <v>8</v>
      </c>
      <c r="B32" s="15" t="s">
        <v>13</v>
      </c>
      <c r="C32" s="14" t="n">
        <v>6.157894737</v>
      </c>
      <c r="D32" s="22" t="n">
        <v>6</v>
      </c>
      <c r="E32" s="22" t="n">
        <v>4</v>
      </c>
      <c r="F32" s="22" t="n">
        <f aca="false">E32-D32</f>
        <v>-2</v>
      </c>
    </row>
    <row r="33" customFormat="false" ht="14.25" hidden="false" customHeight="false" outlineLevel="0" collapsed="false">
      <c r="A33" s="15" t="n">
        <v>8</v>
      </c>
      <c r="B33" s="15" t="s">
        <v>14</v>
      </c>
      <c r="C33" s="14" t="n">
        <v>5.526315789</v>
      </c>
      <c r="D33" s="22" t="n">
        <v>6</v>
      </c>
      <c r="E33" s="22" t="n">
        <v>2</v>
      </c>
      <c r="F33" s="22" t="n">
        <f aca="false">E33-D33</f>
        <v>-4</v>
      </c>
    </row>
    <row r="34" customFormat="false" ht="14.25" hidden="false" customHeight="false" outlineLevel="0" collapsed="false">
      <c r="A34" s="12" t="n">
        <v>9</v>
      </c>
      <c r="B34" s="12" t="s">
        <v>11</v>
      </c>
      <c r="C34" s="14" t="n">
        <v>6.210526316</v>
      </c>
      <c r="D34" s="3" t="n">
        <v>1.2</v>
      </c>
      <c r="E34" s="3" t="n">
        <v>2.5</v>
      </c>
      <c r="F34" s="3" t="n">
        <f aca="false">E34-D34</f>
        <v>1.3</v>
      </c>
    </row>
    <row r="35" customFormat="false" ht="14.25" hidden="false" customHeight="false" outlineLevel="0" collapsed="false">
      <c r="A35" s="12" t="n">
        <v>9</v>
      </c>
      <c r="B35" s="12" t="s">
        <v>12</v>
      </c>
      <c r="C35" s="14" t="n">
        <v>6.368421053</v>
      </c>
      <c r="D35" s="3" t="n">
        <v>1.2</v>
      </c>
      <c r="E35" s="3" t="n">
        <v>2.5</v>
      </c>
      <c r="F35" s="3" t="n">
        <f aca="false">E35-D35</f>
        <v>1.3</v>
      </c>
    </row>
    <row r="36" customFormat="false" ht="14.25" hidden="false" customHeight="false" outlineLevel="0" collapsed="false">
      <c r="A36" s="12" t="n">
        <v>9</v>
      </c>
      <c r="B36" s="12" t="s">
        <v>13</v>
      </c>
      <c r="C36" s="14" t="n">
        <v>6.578947368</v>
      </c>
      <c r="D36" s="3" t="n">
        <v>1.2</v>
      </c>
      <c r="E36" s="3" t="n">
        <v>1</v>
      </c>
      <c r="F36" s="3" t="n">
        <f aca="false">E36-D36</f>
        <v>-0.2</v>
      </c>
    </row>
    <row r="37" customFormat="false" ht="14.25" hidden="false" customHeight="false" outlineLevel="0" collapsed="false">
      <c r="A37" s="12" t="n">
        <v>9</v>
      </c>
      <c r="B37" s="12" t="s">
        <v>14</v>
      </c>
      <c r="C37" s="14" t="n">
        <v>6.263157895</v>
      </c>
      <c r="D37" s="3" t="n">
        <v>1.2</v>
      </c>
      <c r="E37" s="3" t="n">
        <v>1</v>
      </c>
      <c r="F37" s="3" t="n">
        <f aca="false">E37-D37</f>
        <v>-0.2</v>
      </c>
    </row>
    <row r="38" customFormat="false" ht="14.25" hidden="false" customHeight="false" outlineLevel="0" collapsed="false">
      <c r="A38" s="15" t="n">
        <v>10</v>
      </c>
      <c r="B38" s="15" t="s">
        <v>11</v>
      </c>
      <c r="C38" s="14" t="n">
        <v>5.263157895</v>
      </c>
      <c r="D38" s="22" t="n">
        <v>1.5</v>
      </c>
      <c r="E38" s="22" t="n">
        <v>1</v>
      </c>
      <c r="F38" s="22" t="n">
        <f aca="false">E38-D38</f>
        <v>-0.5</v>
      </c>
    </row>
    <row r="39" customFormat="false" ht="14.25" hidden="false" customHeight="false" outlineLevel="0" collapsed="false">
      <c r="A39" s="15" t="n">
        <v>10</v>
      </c>
      <c r="B39" s="15" t="s">
        <v>12</v>
      </c>
      <c r="C39" s="14" t="n">
        <v>5.368421053</v>
      </c>
      <c r="D39" s="22" t="n">
        <v>1.5</v>
      </c>
      <c r="E39" s="22" t="n">
        <v>0.5</v>
      </c>
      <c r="F39" s="22" t="n">
        <f aca="false">E39-D39</f>
        <v>-1</v>
      </c>
    </row>
    <row r="40" customFormat="false" ht="14.25" hidden="false" customHeight="false" outlineLevel="0" collapsed="false">
      <c r="A40" s="15" t="n">
        <v>10</v>
      </c>
      <c r="B40" s="15" t="s">
        <v>13</v>
      </c>
      <c r="C40" s="14" t="n">
        <v>5.421052632</v>
      </c>
      <c r="D40" s="22" t="n">
        <v>1.5</v>
      </c>
      <c r="E40" s="22" t="n">
        <v>0.75</v>
      </c>
      <c r="F40" s="22" t="n">
        <f aca="false">E40-D40</f>
        <v>-0.75</v>
      </c>
    </row>
    <row r="41" customFormat="false" ht="14.25" hidden="false" customHeight="false" outlineLevel="0" collapsed="false">
      <c r="A41" s="15" t="n">
        <v>10</v>
      </c>
      <c r="B41" s="15" t="s">
        <v>14</v>
      </c>
      <c r="C41" s="14" t="n">
        <v>5.631578947</v>
      </c>
      <c r="D41" s="22" t="n">
        <v>1.5</v>
      </c>
      <c r="E41" s="22" t="n">
        <v>1.5</v>
      </c>
      <c r="F41" s="22" t="n">
        <f aca="false">E41-D41</f>
        <v>0</v>
      </c>
    </row>
    <row r="42" customFormat="false" ht="14.25" hidden="false" customHeight="false" outlineLevel="0" collapsed="false">
      <c r="A42" s="12" t="n">
        <v>11</v>
      </c>
      <c r="B42" s="12" t="s">
        <v>11</v>
      </c>
      <c r="C42" s="14" t="n">
        <v>5.473684211</v>
      </c>
      <c r="D42" s="3" t="n">
        <v>1</v>
      </c>
      <c r="E42" s="3" t="n">
        <v>0.5</v>
      </c>
      <c r="F42" s="3" t="n">
        <f aca="false">E42-D42</f>
        <v>-0.5</v>
      </c>
    </row>
    <row r="43" customFormat="false" ht="14.25" hidden="false" customHeight="false" outlineLevel="0" collapsed="false">
      <c r="A43" s="12" t="n">
        <v>11</v>
      </c>
      <c r="B43" s="12" t="s">
        <v>12</v>
      </c>
      <c r="C43" s="14" t="n">
        <v>5.526315789</v>
      </c>
      <c r="D43" s="3" t="n">
        <v>1</v>
      </c>
      <c r="E43" s="3" t="n">
        <v>0.5</v>
      </c>
      <c r="F43" s="3" t="n">
        <f aca="false">E43-D43</f>
        <v>-0.5</v>
      </c>
    </row>
    <row r="44" customFormat="false" ht="14.25" hidden="false" customHeight="false" outlineLevel="0" collapsed="false">
      <c r="A44" s="12" t="n">
        <v>11</v>
      </c>
      <c r="B44" s="12" t="s">
        <v>13</v>
      </c>
      <c r="C44" s="14" t="n">
        <v>5.736842105</v>
      </c>
      <c r="D44" s="3" t="n">
        <v>1</v>
      </c>
      <c r="E44" s="3" t="n">
        <v>0.5</v>
      </c>
      <c r="F44" s="3" t="n">
        <f aca="false">E44-D44</f>
        <v>-0.5</v>
      </c>
    </row>
    <row r="45" customFormat="false" ht="14.25" hidden="false" customHeight="false" outlineLevel="0" collapsed="false">
      <c r="A45" s="12" t="n">
        <v>11</v>
      </c>
      <c r="B45" s="12" t="s">
        <v>14</v>
      </c>
      <c r="C45" s="14" t="n">
        <v>6.157894737</v>
      </c>
      <c r="D45" s="3" t="n">
        <v>1</v>
      </c>
      <c r="E45" s="3" t="n">
        <v>0.5</v>
      </c>
      <c r="F45" s="3" t="n">
        <f aca="false">E45-D45</f>
        <v>-0.5</v>
      </c>
    </row>
    <row r="46" customFormat="false" ht="14.25" hidden="false" customHeight="false" outlineLevel="0" collapsed="false">
      <c r="A46" s="15" t="n">
        <v>12</v>
      </c>
      <c r="B46" s="15" t="s">
        <v>11</v>
      </c>
      <c r="C46" s="14" t="n">
        <v>6.105263158</v>
      </c>
      <c r="D46" s="22" t="n">
        <v>5</v>
      </c>
      <c r="E46" s="22" t="n">
        <v>4</v>
      </c>
      <c r="F46" s="22" t="n">
        <f aca="false">E46-D46</f>
        <v>-1</v>
      </c>
    </row>
    <row r="47" customFormat="false" ht="14.25" hidden="false" customHeight="false" outlineLevel="0" collapsed="false">
      <c r="A47" s="15" t="n">
        <v>12</v>
      </c>
      <c r="B47" s="15" t="s">
        <v>12</v>
      </c>
      <c r="C47" s="14" t="n">
        <v>6.157894737</v>
      </c>
      <c r="D47" s="22" t="n">
        <v>5</v>
      </c>
      <c r="E47" s="22" t="n">
        <v>3</v>
      </c>
      <c r="F47" s="22" t="n">
        <f aca="false">E47-D47</f>
        <v>-2</v>
      </c>
    </row>
    <row r="48" customFormat="false" ht="14.25" hidden="false" customHeight="false" outlineLevel="0" collapsed="false">
      <c r="A48" s="15" t="n">
        <v>12</v>
      </c>
      <c r="B48" s="15" t="s">
        <v>13</v>
      </c>
      <c r="C48" s="14" t="n">
        <v>6.210526316</v>
      </c>
      <c r="D48" s="22" t="n">
        <v>5</v>
      </c>
      <c r="E48" s="22" t="n">
        <v>2</v>
      </c>
      <c r="F48" s="22" t="n">
        <f aca="false">E48-D48</f>
        <v>-3</v>
      </c>
    </row>
    <row r="49" customFormat="false" ht="14.25" hidden="false" customHeight="false" outlineLevel="0" collapsed="false">
      <c r="A49" s="15" t="n">
        <v>12</v>
      </c>
      <c r="B49" s="15" t="s">
        <v>14</v>
      </c>
      <c r="C49" s="14" t="n">
        <v>6.368421053</v>
      </c>
      <c r="D49" s="22" t="n">
        <v>5</v>
      </c>
      <c r="E49" s="22" t="n">
        <v>3.5</v>
      </c>
      <c r="F49" s="22" t="n">
        <f aca="false">E49-D49</f>
        <v>-1.5</v>
      </c>
    </row>
    <row r="50" customFormat="false" ht="14.25" hidden="false" customHeight="false" outlineLevel="0" collapsed="false">
      <c r="A50" s="12" t="n">
        <v>13</v>
      </c>
      <c r="B50" s="12" t="s">
        <v>11</v>
      </c>
      <c r="C50" s="14" t="n">
        <v>6.473684211</v>
      </c>
      <c r="D50" s="3" t="n">
        <v>4.5</v>
      </c>
      <c r="E50" s="3" t="n">
        <v>3</v>
      </c>
      <c r="F50" s="3" t="n">
        <f aca="false">E50-D50</f>
        <v>-1.5</v>
      </c>
    </row>
    <row r="51" customFormat="false" ht="14.25" hidden="false" customHeight="false" outlineLevel="0" collapsed="false">
      <c r="A51" s="12" t="n">
        <v>13</v>
      </c>
      <c r="B51" s="12" t="s">
        <v>12</v>
      </c>
      <c r="C51" s="14" t="n">
        <v>6</v>
      </c>
      <c r="D51" s="3" t="n">
        <v>4.5</v>
      </c>
      <c r="E51" s="3" t="n">
        <v>3</v>
      </c>
      <c r="F51" s="3" t="n">
        <f aca="false">E51-D51</f>
        <v>-1.5</v>
      </c>
    </row>
    <row r="52" customFormat="false" ht="14.25" hidden="false" customHeight="false" outlineLevel="0" collapsed="false">
      <c r="A52" s="12" t="n">
        <v>13</v>
      </c>
      <c r="B52" s="12" t="s">
        <v>13</v>
      </c>
      <c r="C52" s="14" t="n">
        <v>6.736842105</v>
      </c>
      <c r="D52" s="3" t="n">
        <v>4.5</v>
      </c>
      <c r="E52" s="3" t="n">
        <v>2</v>
      </c>
      <c r="F52" s="3" t="n">
        <f aca="false">E52-D52</f>
        <v>-2.5</v>
      </c>
    </row>
    <row r="53" customFormat="false" ht="14.25" hidden="false" customHeight="false" outlineLevel="0" collapsed="false">
      <c r="A53" s="12" t="n">
        <v>13</v>
      </c>
      <c r="B53" s="12" t="s">
        <v>14</v>
      </c>
      <c r="C53" s="14" t="n">
        <v>6.421052632</v>
      </c>
      <c r="D53" s="3" t="n">
        <v>4.5</v>
      </c>
      <c r="E53" s="3" t="n">
        <v>3</v>
      </c>
      <c r="F53" s="3" t="n">
        <f aca="false">E53-D53</f>
        <v>-1.5</v>
      </c>
    </row>
    <row r="54" customFormat="false" ht="14.25" hidden="false" customHeight="false" outlineLevel="0" collapsed="false">
      <c r="A54" s="15" t="n">
        <v>14</v>
      </c>
      <c r="B54" s="15" t="s">
        <v>11</v>
      </c>
      <c r="C54" s="14" t="n">
        <v>5.368421053</v>
      </c>
      <c r="D54" s="22" t="n">
        <v>1.3</v>
      </c>
      <c r="E54" s="22" t="n">
        <v>1.3</v>
      </c>
      <c r="F54" s="22" t="n">
        <f aca="false">E54-D54</f>
        <v>0</v>
      </c>
    </row>
    <row r="55" customFormat="false" ht="14.25" hidden="false" customHeight="false" outlineLevel="0" collapsed="false">
      <c r="A55" s="15" t="n">
        <v>14</v>
      </c>
      <c r="B55" s="15" t="s">
        <v>12</v>
      </c>
      <c r="C55" s="14" t="n">
        <v>5.315789474</v>
      </c>
      <c r="D55" s="22" t="n">
        <v>1.3</v>
      </c>
      <c r="E55" s="22" t="n">
        <v>1</v>
      </c>
      <c r="F55" s="22" t="n">
        <f aca="false">E55-D55</f>
        <v>-0.3</v>
      </c>
    </row>
    <row r="56" customFormat="false" ht="14.25" hidden="false" customHeight="false" outlineLevel="0" collapsed="false">
      <c r="A56" s="15" t="n">
        <v>14</v>
      </c>
      <c r="B56" s="15" t="s">
        <v>13</v>
      </c>
      <c r="C56" s="14" t="n">
        <v>6.210526316</v>
      </c>
      <c r="D56" s="22" t="n">
        <v>1.3</v>
      </c>
      <c r="E56" s="22" t="n">
        <v>0.7</v>
      </c>
      <c r="F56" s="22" t="n">
        <f aca="false">E56-D56</f>
        <v>-0.6</v>
      </c>
    </row>
    <row r="57" customFormat="false" ht="14.25" hidden="false" customHeight="false" outlineLevel="0" collapsed="false">
      <c r="A57" s="15" t="n">
        <v>14</v>
      </c>
      <c r="B57" s="15" t="s">
        <v>14</v>
      </c>
      <c r="C57" s="14" t="n">
        <v>6.210526316</v>
      </c>
      <c r="D57" s="22" t="n">
        <v>1.3</v>
      </c>
      <c r="E57" s="22" t="n">
        <v>0.4</v>
      </c>
      <c r="F57" s="22" t="n">
        <f aca="false">E57-D57</f>
        <v>-0.9</v>
      </c>
    </row>
    <row r="58" customFormat="false" ht="14.25" hidden="false" customHeight="false" outlineLevel="0" collapsed="false">
      <c r="A58" s="12" t="n">
        <v>15</v>
      </c>
      <c r="B58" s="12" t="s">
        <v>11</v>
      </c>
      <c r="C58" s="14" t="n">
        <v>5.842105263</v>
      </c>
      <c r="D58" s="3" t="n">
        <v>1.3</v>
      </c>
      <c r="E58" s="3" t="n">
        <v>0.4</v>
      </c>
      <c r="F58" s="3" t="n">
        <f aca="false">E58-D58</f>
        <v>-0.9</v>
      </c>
    </row>
    <row r="59" customFormat="false" ht="14.25" hidden="false" customHeight="false" outlineLevel="0" collapsed="false">
      <c r="A59" s="12" t="n">
        <v>15</v>
      </c>
      <c r="B59" s="12" t="s">
        <v>12</v>
      </c>
      <c r="C59" s="14" t="n">
        <v>6.157894737</v>
      </c>
      <c r="D59" s="3" t="n">
        <v>1.3</v>
      </c>
      <c r="E59" s="3" t="n">
        <v>1.2</v>
      </c>
      <c r="F59" s="3" t="n">
        <f aca="false">E59-D59</f>
        <v>-0.1</v>
      </c>
    </row>
    <row r="60" customFormat="false" ht="14.25" hidden="false" customHeight="false" outlineLevel="0" collapsed="false">
      <c r="A60" s="12" t="n">
        <v>15</v>
      </c>
      <c r="B60" s="12" t="s">
        <v>13</v>
      </c>
      <c r="C60" s="14" t="n">
        <v>6.157894737</v>
      </c>
      <c r="D60" s="3" t="n">
        <v>1.3</v>
      </c>
      <c r="E60" s="3" t="n">
        <v>1</v>
      </c>
      <c r="F60" s="3" t="n">
        <f aca="false">E60-D60</f>
        <v>-0.3</v>
      </c>
    </row>
    <row r="61" customFormat="false" ht="14.25" hidden="false" customHeight="false" outlineLevel="0" collapsed="false">
      <c r="A61" s="12" t="n">
        <v>15</v>
      </c>
      <c r="B61" s="12" t="s">
        <v>14</v>
      </c>
      <c r="C61" s="14" t="n">
        <v>6.368421053</v>
      </c>
      <c r="D61" s="3" t="n">
        <v>1.3</v>
      </c>
      <c r="E61" s="3" t="n">
        <v>0.8</v>
      </c>
      <c r="F61" s="3" t="n">
        <f aca="false">E61-D61</f>
        <v>-0.5</v>
      </c>
    </row>
    <row r="62" customFormat="false" ht="14.25" hidden="false" customHeight="false" outlineLevel="0" collapsed="false">
      <c r="A62" s="15" t="n">
        <v>16</v>
      </c>
      <c r="B62" s="15" t="s">
        <v>11</v>
      </c>
      <c r="C62" s="14" t="n">
        <v>6.157894737</v>
      </c>
      <c r="D62" s="22" t="n">
        <v>4</v>
      </c>
      <c r="E62" s="22" t="n">
        <v>1.5</v>
      </c>
      <c r="F62" s="22" t="n">
        <f aca="false">E62-D62</f>
        <v>-2.5</v>
      </c>
    </row>
    <row r="63" customFormat="false" ht="14.25" hidden="false" customHeight="false" outlineLevel="0" collapsed="false">
      <c r="A63" s="15" t="n">
        <v>16</v>
      </c>
      <c r="B63" s="15" t="s">
        <v>12</v>
      </c>
      <c r="C63" s="14" t="n">
        <v>5.947368421</v>
      </c>
      <c r="D63" s="22" t="n">
        <v>4</v>
      </c>
      <c r="E63" s="22" t="n">
        <v>2</v>
      </c>
      <c r="F63" s="22" t="n">
        <f aca="false">E63-D63</f>
        <v>-2</v>
      </c>
    </row>
    <row r="64" customFormat="false" ht="14.25" hidden="false" customHeight="false" outlineLevel="0" collapsed="false">
      <c r="A64" s="15" t="n">
        <v>16</v>
      </c>
      <c r="B64" s="15" t="s">
        <v>13</v>
      </c>
      <c r="C64" s="14" t="n">
        <v>6.631578947</v>
      </c>
      <c r="D64" s="22" t="n">
        <v>4</v>
      </c>
      <c r="E64" s="22" t="n">
        <v>1.2</v>
      </c>
      <c r="F64" s="22" t="n">
        <f aca="false">E64-D64</f>
        <v>-2.8</v>
      </c>
    </row>
    <row r="65" customFormat="false" ht="14.25" hidden="false" customHeight="false" outlineLevel="0" collapsed="false">
      <c r="A65" s="15" t="n">
        <v>16</v>
      </c>
      <c r="B65" s="15" t="s">
        <v>14</v>
      </c>
      <c r="C65" s="14" t="n">
        <v>6.736842105</v>
      </c>
      <c r="D65" s="22" t="n">
        <v>4</v>
      </c>
      <c r="E65" s="22" t="n">
        <v>1</v>
      </c>
      <c r="F65" s="22" t="n">
        <f aca="false">E65-D65</f>
        <v>-3</v>
      </c>
    </row>
    <row r="66" customFormat="false" ht="14.25" hidden="false" customHeight="false" outlineLevel="0" collapsed="false">
      <c r="A66" s="12" t="n">
        <v>17</v>
      </c>
      <c r="B66" s="12" t="s">
        <v>11</v>
      </c>
      <c r="C66" s="14" t="n">
        <v>5</v>
      </c>
      <c r="D66" s="3" t="n">
        <v>4</v>
      </c>
      <c r="E66" s="3" t="n">
        <v>1</v>
      </c>
      <c r="F66" s="3" t="n">
        <f aca="false">E66-D66</f>
        <v>-3</v>
      </c>
    </row>
    <row r="67" customFormat="false" ht="14.25" hidden="false" customHeight="false" outlineLevel="0" collapsed="false">
      <c r="A67" s="12" t="n">
        <v>17</v>
      </c>
      <c r="B67" s="12" t="s">
        <v>12</v>
      </c>
      <c r="C67" s="14" t="n">
        <v>5.105263158</v>
      </c>
      <c r="D67" s="3" t="n">
        <v>4</v>
      </c>
      <c r="E67" s="3" t="n">
        <v>0</v>
      </c>
      <c r="F67" s="3" t="n">
        <f aca="false">E67-D67</f>
        <v>-4</v>
      </c>
    </row>
    <row r="68" customFormat="false" ht="14.25" hidden="false" customHeight="false" outlineLevel="0" collapsed="false">
      <c r="A68" s="12" t="n">
        <v>17</v>
      </c>
      <c r="B68" s="12" t="s">
        <v>13</v>
      </c>
      <c r="C68" s="14" t="n">
        <v>6.210526316</v>
      </c>
      <c r="D68" s="3" t="n">
        <v>4</v>
      </c>
      <c r="E68" s="3" t="n">
        <v>0</v>
      </c>
      <c r="F68" s="3" t="n">
        <f aca="false">E68-D68</f>
        <v>-4</v>
      </c>
    </row>
    <row r="69" customFormat="false" ht="14.25" hidden="false" customHeight="false" outlineLevel="0" collapsed="false">
      <c r="A69" s="12" t="n">
        <v>17</v>
      </c>
      <c r="B69" s="12" t="s">
        <v>14</v>
      </c>
      <c r="C69" s="14" t="n">
        <v>5.368421053</v>
      </c>
      <c r="D69" s="3" t="n">
        <v>4</v>
      </c>
      <c r="E69" s="3" t="n">
        <v>0</v>
      </c>
      <c r="F69" s="3" t="n">
        <f aca="false">E69-D69</f>
        <v>-4</v>
      </c>
    </row>
    <row r="70" customFormat="false" ht="14.25" hidden="false" customHeight="false" outlineLevel="0" collapsed="false">
      <c r="A70" s="15" t="n">
        <v>18</v>
      </c>
      <c r="B70" s="15" t="s">
        <v>11</v>
      </c>
      <c r="C70" s="14" t="n">
        <v>6.473684211</v>
      </c>
      <c r="D70" s="22" t="n">
        <v>4</v>
      </c>
      <c r="E70" s="22" t="n">
        <v>3</v>
      </c>
      <c r="F70" s="22" t="n">
        <f aca="false">E70-D70</f>
        <v>-1</v>
      </c>
    </row>
    <row r="71" customFormat="false" ht="14.25" hidden="false" customHeight="false" outlineLevel="0" collapsed="false">
      <c r="A71" s="15" t="n">
        <v>18</v>
      </c>
      <c r="B71" s="15" t="s">
        <v>12</v>
      </c>
      <c r="C71" s="14" t="n">
        <v>6.368421053</v>
      </c>
      <c r="D71" s="22" t="n">
        <v>4</v>
      </c>
      <c r="E71" s="22" t="n">
        <v>3</v>
      </c>
      <c r="F71" s="22" t="n">
        <f aca="false">E71-D71</f>
        <v>-1</v>
      </c>
    </row>
    <row r="72" customFormat="false" ht="14.25" hidden="false" customHeight="false" outlineLevel="0" collapsed="false">
      <c r="A72" s="15" t="n">
        <v>18</v>
      </c>
      <c r="B72" s="15" t="s">
        <v>13</v>
      </c>
      <c r="C72" s="14" t="n">
        <v>5.578947368</v>
      </c>
      <c r="D72" s="22" t="n">
        <v>4</v>
      </c>
      <c r="E72" s="22" t="n">
        <v>2.75</v>
      </c>
      <c r="F72" s="22" t="n">
        <f aca="false">E72-D72</f>
        <v>-1.25</v>
      </c>
    </row>
    <row r="73" customFormat="false" ht="14.25" hidden="false" customHeight="false" outlineLevel="0" collapsed="false">
      <c r="A73" s="15" t="n">
        <v>18</v>
      </c>
      <c r="B73" s="15" t="s">
        <v>14</v>
      </c>
      <c r="C73" s="14" t="n">
        <v>6.263157895</v>
      </c>
      <c r="D73" s="22" t="n">
        <v>4</v>
      </c>
      <c r="E73" s="22" t="n">
        <v>2</v>
      </c>
      <c r="F73" s="22" t="n">
        <f aca="false">E73-D73</f>
        <v>-2</v>
      </c>
    </row>
    <row r="74" customFormat="false" ht="14.25" hidden="false" customHeight="false" outlineLevel="0" collapsed="false">
      <c r="D74" s="22"/>
      <c r="E74" s="22"/>
      <c r="F74" s="22"/>
    </row>
    <row r="75" customFormat="false" ht="14.25" hidden="false" customHeight="false" outlineLevel="0" collapsed="false">
      <c r="D75" s="22"/>
      <c r="E75" s="22"/>
      <c r="F75" s="22"/>
    </row>
    <row r="76" customFormat="false" ht="14.25" hidden="false" customHeight="false" outlineLevel="0" collapsed="false">
      <c r="D76" s="22"/>
      <c r="E76" s="22"/>
      <c r="F76" s="22"/>
    </row>
    <row r="77" customFormat="false" ht="14.25" hidden="false" customHeight="false" outlineLevel="0" collapsed="false">
      <c r="D77" s="22"/>
      <c r="E77" s="22"/>
      <c r="F77" s="22"/>
    </row>
    <row r="78" customFormat="false" ht="14.25" hidden="false" customHeight="false" outlineLevel="0" collapsed="false">
      <c r="D78" s="22"/>
      <c r="E78" s="22"/>
      <c r="F78" s="22"/>
    </row>
    <row r="79" customFormat="false" ht="14.25" hidden="false" customHeight="false" outlineLevel="0" collapsed="false">
      <c r="D79" s="22"/>
      <c r="E79" s="22"/>
      <c r="F79" s="22"/>
    </row>
    <row r="80" customFormat="false" ht="14.25" hidden="false" customHeight="false" outlineLevel="0" collapsed="false">
      <c r="D80" s="22"/>
      <c r="E80" s="22"/>
      <c r="F80" s="22"/>
    </row>
    <row r="81" customFormat="false" ht="14.25" hidden="false" customHeight="false" outlineLevel="0" collapsed="false">
      <c r="D81" s="22"/>
      <c r="E81" s="22"/>
      <c r="F81" s="22"/>
    </row>
    <row r="82" customFormat="false" ht="14.25" hidden="false" customHeight="false" outlineLevel="0" collapsed="false">
      <c r="D82" s="22"/>
      <c r="E82" s="22"/>
      <c r="F82" s="22"/>
    </row>
    <row r="83" customFormat="false" ht="14.25" hidden="false" customHeight="false" outlineLevel="0" collapsed="false">
      <c r="D83" s="22"/>
      <c r="E83" s="22"/>
      <c r="F83" s="22"/>
    </row>
    <row r="84" customFormat="false" ht="14.25" hidden="false" customHeight="false" outlineLevel="0" collapsed="false">
      <c r="D84" s="22"/>
      <c r="E84" s="22"/>
      <c r="F84" s="22"/>
    </row>
    <row r="85" customFormat="false" ht="14.25" hidden="false" customHeight="false" outlineLevel="0" collapsed="false">
      <c r="D85" s="22"/>
      <c r="E85" s="22"/>
      <c r="F85" s="22"/>
    </row>
    <row r="86" customFormat="false" ht="14.25" hidden="false" customHeight="false" outlineLevel="0" collapsed="false">
      <c r="D86" s="22"/>
      <c r="E86" s="22"/>
      <c r="F86" s="22"/>
    </row>
    <row r="87" customFormat="false" ht="14.25" hidden="false" customHeight="false" outlineLevel="0" collapsed="false">
      <c r="D87" s="22"/>
      <c r="E87" s="22"/>
      <c r="F87" s="22"/>
    </row>
    <row r="88" customFormat="false" ht="14.25" hidden="false" customHeight="false" outlineLevel="0" collapsed="false">
      <c r="D88" s="22"/>
      <c r="E88" s="22"/>
      <c r="F88" s="22"/>
    </row>
    <row r="89" customFormat="false" ht="14.25" hidden="false" customHeight="false" outlineLevel="0" collapsed="false">
      <c r="D89" s="22"/>
      <c r="E89" s="22"/>
      <c r="F89" s="22"/>
    </row>
    <row r="90" customFormat="false" ht="14.25" hidden="false" customHeight="false" outlineLevel="0" collapsed="false">
      <c r="D90" s="22"/>
      <c r="E90" s="22"/>
      <c r="F90" s="22"/>
    </row>
    <row r="91" customFormat="false" ht="14.25" hidden="false" customHeight="false" outlineLevel="0" collapsed="false">
      <c r="D91" s="22"/>
      <c r="E91" s="22"/>
      <c r="F91" s="22"/>
    </row>
    <row r="92" customFormat="false" ht="14.25" hidden="false" customHeight="false" outlineLevel="0" collapsed="false">
      <c r="D92" s="22"/>
      <c r="E92" s="22"/>
      <c r="F92" s="22"/>
    </row>
    <row r="93" customFormat="false" ht="14.25" hidden="false" customHeight="false" outlineLevel="0" collapsed="false">
      <c r="D93" s="22"/>
      <c r="E93" s="22"/>
      <c r="F93" s="22"/>
    </row>
    <row r="94" customFormat="false" ht="14.25" hidden="false" customHeight="false" outlineLevel="0" collapsed="false">
      <c r="D94" s="22"/>
      <c r="E94" s="22"/>
      <c r="F94" s="22"/>
    </row>
    <row r="95" customFormat="false" ht="14.25" hidden="false" customHeight="false" outlineLevel="0" collapsed="false">
      <c r="D95" s="22"/>
      <c r="E95" s="22"/>
      <c r="F95" s="22"/>
    </row>
    <row r="96" customFormat="false" ht="14.25" hidden="false" customHeight="false" outlineLevel="0" collapsed="false">
      <c r="D96" s="22"/>
      <c r="E96" s="22"/>
      <c r="F96" s="22"/>
    </row>
    <row r="97" customFormat="false" ht="14.25" hidden="false" customHeight="false" outlineLevel="0" collapsed="false">
      <c r="D97" s="22"/>
      <c r="E97" s="22"/>
      <c r="F97" s="22"/>
    </row>
    <row r="98" customFormat="false" ht="14.25" hidden="false" customHeight="false" outlineLevel="0" collapsed="false">
      <c r="D98" s="22"/>
      <c r="E98" s="22"/>
      <c r="F98" s="22"/>
    </row>
    <row r="99" customFormat="false" ht="14.25" hidden="false" customHeight="false" outlineLevel="0" collapsed="false">
      <c r="D99" s="22"/>
      <c r="E99" s="22"/>
      <c r="F99" s="22"/>
    </row>
    <row r="100" customFormat="false" ht="14.25" hidden="false" customHeight="false" outlineLevel="0" collapsed="false">
      <c r="D100" s="22"/>
      <c r="E100" s="22"/>
      <c r="F100" s="22"/>
    </row>
    <row r="101" customFormat="false" ht="14.25" hidden="false" customHeight="false" outlineLevel="0" collapsed="false">
      <c r="D101" s="22"/>
      <c r="E101" s="22"/>
      <c r="F101" s="22"/>
    </row>
    <row r="102" customFormat="false" ht="14.25" hidden="false" customHeight="false" outlineLevel="0" collapsed="false">
      <c r="D102" s="22"/>
      <c r="E102" s="22"/>
      <c r="F102" s="22"/>
    </row>
    <row r="103" customFormat="false" ht="14.25" hidden="false" customHeight="false" outlineLevel="0" collapsed="false">
      <c r="D103" s="22"/>
      <c r="E103" s="22"/>
      <c r="F103" s="22"/>
    </row>
    <row r="104" customFormat="false" ht="14.25" hidden="false" customHeight="false" outlineLevel="0" collapsed="false">
      <c r="D104" s="22"/>
      <c r="E104" s="22"/>
      <c r="F104" s="22"/>
    </row>
    <row r="105" customFormat="false" ht="14.25" hidden="false" customHeight="false" outlineLevel="0" collapsed="false">
      <c r="D105" s="22"/>
      <c r="E105" s="22"/>
      <c r="F105" s="22"/>
    </row>
    <row r="106" customFormat="false" ht="14.25" hidden="false" customHeight="false" outlineLevel="0" collapsed="false">
      <c r="D106" s="22"/>
      <c r="E106" s="22"/>
      <c r="F106" s="22"/>
    </row>
    <row r="107" customFormat="false" ht="14.25" hidden="false" customHeight="false" outlineLevel="0" collapsed="false">
      <c r="D107" s="22"/>
      <c r="E107" s="22"/>
      <c r="F107" s="22"/>
    </row>
    <row r="108" customFormat="false" ht="14.25" hidden="false" customHeight="false" outlineLevel="0" collapsed="false">
      <c r="D108" s="22"/>
      <c r="E108" s="22"/>
      <c r="F108" s="22"/>
    </row>
    <row r="109" customFormat="false" ht="14.25" hidden="false" customHeight="false" outlineLevel="0" collapsed="false">
      <c r="D109" s="22"/>
      <c r="E109" s="22"/>
      <c r="F109" s="22"/>
    </row>
    <row r="110" customFormat="false" ht="14.25" hidden="false" customHeight="false" outlineLevel="0" collapsed="false">
      <c r="D110" s="22"/>
      <c r="E110" s="22"/>
      <c r="F110" s="22"/>
    </row>
    <row r="111" customFormat="false" ht="14.25" hidden="false" customHeight="false" outlineLevel="0" collapsed="false">
      <c r="D111" s="22"/>
      <c r="E111" s="22"/>
      <c r="F111" s="22"/>
    </row>
    <row r="112" customFormat="false" ht="14.25" hidden="false" customHeight="false" outlineLevel="0" collapsed="false">
      <c r="D112" s="22"/>
      <c r="E112" s="22"/>
      <c r="F112" s="22"/>
    </row>
    <row r="113" customFormat="false" ht="14.25" hidden="false" customHeight="false" outlineLevel="0" collapsed="false">
      <c r="D113" s="22"/>
      <c r="E113" s="22"/>
      <c r="F113" s="22"/>
    </row>
    <row r="114" customFormat="false" ht="14.25" hidden="false" customHeight="false" outlineLevel="0" collapsed="false">
      <c r="D114" s="22"/>
      <c r="E114" s="22"/>
      <c r="F114" s="22"/>
    </row>
    <row r="115" customFormat="false" ht="14.25" hidden="false" customHeight="false" outlineLevel="0" collapsed="false">
      <c r="D115" s="22"/>
      <c r="E115" s="22"/>
      <c r="F115" s="22"/>
    </row>
    <row r="116" customFormat="false" ht="14.25" hidden="false" customHeight="false" outlineLevel="0" collapsed="false">
      <c r="D116" s="22"/>
      <c r="E116" s="22"/>
      <c r="F116" s="22"/>
    </row>
    <row r="117" customFormat="false" ht="14.25" hidden="false" customHeight="false" outlineLevel="0" collapsed="false">
      <c r="D117" s="22"/>
      <c r="E117" s="22"/>
      <c r="F117" s="22"/>
    </row>
    <row r="118" customFormat="false" ht="14.25" hidden="false" customHeight="false" outlineLevel="0" collapsed="false">
      <c r="D118" s="22"/>
      <c r="E118" s="22"/>
      <c r="F118" s="22"/>
    </row>
    <row r="119" customFormat="false" ht="14.25" hidden="false" customHeight="false" outlineLevel="0" collapsed="false">
      <c r="D119" s="22"/>
      <c r="E119" s="22"/>
      <c r="F119" s="22"/>
    </row>
    <row r="120" customFormat="false" ht="14.25" hidden="false" customHeight="false" outlineLevel="0" collapsed="false">
      <c r="D120" s="22"/>
      <c r="E120" s="22"/>
      <c r="F120" s="22"/>
    </row>
    <row r="121" customFormat="false" ht="14.25" hidden="false" customHeight="false" outlineLevel="0" collapsed="false">
      <c r="D121" s="22"/>
      <c r="E121" s="22"/>
      <c r="F121" s="22"/>
    </row>
    <row r="122" customFormat="false" ht="14.25" hidden="false" customHeight="false" outlineLevel="0" collapsed="false">
      <c r="D122" s="22"/>
      <c r="E122" s="22"/>
      <c r="F122" s="22"/>
    </row>
    <row r="123" customFormat="false" ht="14.25" hidden="false" customHeight="false" outlineLevel="0" collapsed="false">
      <c r="D123" s="22"/>
      <c r="E123" s="22"/>
      <c r="F123" s="22"/>
    </row>
    <row r="124" customFormat="false" ht="14.25" hidden="false" customHeight="false" outlineLevel="0" collapsed="false">
      <c r="D124" s="22"/>
      <c r="E124" s="22"/>
      <c r="F124" s="22"/>
    </row>
    <row r="125" customFormat="false" ht="14.25" hidden="false" customHeight="false" outlineLevel="0" collapsed="false">
      <c r="D125" s="22"/>
      <c r="E125" s="22"/>
      <c r="F125" s="22"/>
    </row>
    <row r="126" customFormat="false" ht="14.25" hidden="false" customHeight="false" outlineLevel="0" collapsed="false">
      <c r="D126" s="22"/>
      <c r="E126" s="22"/>
      <c r="F126" s="22"/>
    </row>
    <row r="127" customFormat="false" ht="14.25" hidden="false" customHeight="false" outlineLevel="0" collapsed="false">
      <c r="D127" s="22"/>
      <c r="E127" s="22"/>
      <c r="F127" s="22"/>
    </row>
    <row r="128" customFormat="false" ht="14.25" hidden="false" customHeight="false" outlineLevel="0" collapsed="false">
      <c r="D128" s="22"/>
      <c r="E128" s="22"/>
      <c r="F128" s="22"/>
    </row>
    <row r="129" customFormat="false" ht="14.25" hidden="false" customHeight="false" outlineLevel="0" collapsed="false">
      <c r="D129" s="22"/>
      <c r="E129" s="22"/>
      <c r="F129" s="22"/>
    </row>
    <row r="130" customFormat="false" ht="14.25" hidden="false" customHeight="false" outlineLevel="0" collapsed="false">
      <c r="D130" s="22"/>
      <c r="E130" s="22"/>
      <c r="F130" s="22"/>
    </row>
    <row r="131" customFormat="false" ht="14.25" hidden="false" customHeight="false" outlineLevel="0" collapsed="false">
      <c r="D131" s="22"/>
      <c r="E131" s="22"/>
      <c r="F131" s="22"/>
    </row>
    <row r="132" customFormat="false" ht="14.25" hidden="false" customHeight="false" outlineLevel="0" collapsed="false">
      <c r="D132" s="22"/>
      <c r="E132" s="22"/>
      <c r="F132" s="22"/>
    </row>
    <row r="133" customFormat="false" ht="14.25" hidden="false" customHeight="false" outlineLevel="0" collapsed="false">
      <c r="D133" s="22"/>
      <c r="E133" s="22"/>
      <c r="F133" s="22"/>
    </row>
    <row r="134" customFormat="false" ht="14.25" hidden="false" customHeight="false" outlineLevel="0" collapsed="false">
      <c r="D134" s="22"/>
      <c r="E134" s="22"/>
      <c r="F134" s="22"/>
    </row>
    <row r="135" customFormat="false" ht="14.25" hidden="false" customHeight="false" outlineLevel="0" collapsed="false">
      <c r="D135" s="22"/>
      <c r="E135" s="22"/>
      <c r="F135" s="22"/>
    </row>
    <row r="136" customFormat="false" ht="14.25" hidden="false" customHeight="false" outlineLevel="0" collapsed="false">
      <c r="D136" s="22"/>
      <c r="E136" s="22"/>
      <c r="F136" s="22"/>
    </row>
    <row r="137" customFormat="false" ht="14.25" hidden="false" customHeight="false" outlineLevel="0" collapsed="false">
      <c r="D137" s="22"/>
      <c r="E137" s="22"/>
      <c r="F137" s="22"/>
    </row>
    <row r="138" customFormat="false" ht="14.25" hidden="false" customHeight="false" outlineLevel="0" collapsed="false">
      <c r="D138" s="22"/>
      <c r="E138" s="22"/>
      <c r="F138" s="22"/>
    </row>
    <row r="139" customFormat="false" ht="14.25" hidden="false" customHeight="false" outlineLevel="0" collapsed="false">
      <c r="D139" s="22"/>
      <c r="E139" s="22"/>
      <c r="F139" s="22"/>
    </row>
    <row r="140" customFormat="false" ht="14.25" hidden="false" customHeight="false" outlineLevel="0" collapsed="false">
      <c r="D140" s="22"/>
      <c r="E140" s="22"/>
      <c r="F140" s="22"/>
    </row>
    <row r="141" customFormat="false" ht="14.25" hidden="false" customHeight="false" outlineLevel="0" collapsed="false">
      <c r="D141" s="22"/>
      <c r="E141" s="22"/>
      <c r="F141" s="22"/>
    </row>
    <row r="142" customFormat="false" ht="14.25" hidden="false" customHeight="false" outlineLevel="0" collapsed="false">
      <c r="D142" s="22"/>
      <c r="E142" s="22"/>
      <c r="F142" s="22"/>
    </row>
    <row r="143" customFormat="false" ht="14.25" hidden="false" customHeight="false" outlineLevel="0" collapsed="false">
      <c r="D143" s="22"/>
      <c r="E143" s="22"/>
      <c r="F143" s="22"/>
    </row>
    <row r="144" customFormat="false" ht="14.25" hidden="false" customHeight="false" outlineLevel="0" collapsed="false">
      <c r="D144" s="22"/>
      <c r="E144" s="22"/>
      <c r="F144" s="22"/>
    </row>
    <row r="145" customFormat="false" ht="14.25" hidden="false" customHeight="false" outlineLevel="0" collapsed="false">
      <c r="D145" s="22"/>
      <c r="E145" s="22"/>
      <c r="F145" s="22"/>
    </row>
    <row r="146" customFormat="false" ht="14.25" hidden="false" customHeight="false" outlineLevel="0" collapsed="false">
      <c r="D146" s="22"/>
      <c r="E146" s="22"/>
      <c r="F146" s="22"/>
    </row>
    <row r="147" customFormat="false" ht="14.25" hidden="false" customHeight="false" outlineLevel="0" collapsed="false">
      <c r="D147" s="22"/>
      <c r="E147" s="22"/>
      <c r="F147" s="22"/>
    </row>
    <row r="148" customFormat="false" ht="14.25" hidden="false" customHeight="false" outlineLevel="0" collapsed="false">
      <c r="D148" s="22"/>
      <c r="E148" s="22"/>
      <c r="F148" s="22"/>
    </row>
    <row r="149" customFormat="false" ht="14.25" hidden="false" customHeight="false" outlineLevel="0" collapsed="false">
      <c r="D149" s="22"/>
      <c r="E149" s="22"/>
      <c r="F149" s="22"/>
    </row>
    <row r="150" customFormat="false" ht="14.25" hidden="false" customHeight="false" outlineLevel="0" collapsed="false">
      <c r="D150" s="22"/>
      <c r="E150" s="22"/>
      <c r="F150" s="22"/>
    </row>
    <row r="151" customFormat="false" ht="14.25" hidden="false" customHeight="false" outlineLevel="0" collapsed="false">
      <c r="D151" s="22"/>
      <c r="E151" s="22"/>
      <c r="F151" s="22"/>
    </row>
    <row r="152" customFormat="false" ht="14.25" hidden="false" customHeight="false" outlineLevel="0" collapsed="false">
      <c r="D152" s="22"/>
      <c r="E152" s="22"/>
      <c r="F152" s="22"/>
    </row>
    <row r="153" customFormat="false" ht="14.25" hidden="false" customHeight="false" outlineLevel="0" collapsed="false">
      <c r="D153" s="22"/>
      <c r="E153" s="22"/>
      <c r="F153" s="22"/>
    </row>
    <row r="154" customFormat="false" ht="14.25" hidden="false" customHeight="false" outlineLevel="0" collapsed="false">
      <c r="D154" s="22"/>
      <c r="E154" s="22"/>
      <c r="F154" s="22"/>
    </row>
    <row r="155" customFormat="false" ht="14.25" hidden="false" customHeight="false" outlineLevel="0" collapsed="false">
      <c r="D155" s="22"/>
      <c r="E155" s="22"/>
      <c r="F155" s="22"/>
    </row>
    <row r="156" customFormat="false" ht="14.25" hidden="false" customHeight="false" outlineLevel="0" collapsed="false">
      <c r="D156" s="22"/>
      <c r="E156" s="22"/>
      <c r="F156" s="22"/>
    </row>
    <row r="157" customFormat="false" ht="14.25" hidden="false" customHeight="false" outlineLevel="0" collapsed="false">
      <c r="D157" s="22"/>
      <c r="E157" s="22"/>
      <c r="F157" s="22"/>
    </row>
    <row r="158" customFormat="false" ht="14.25" hidden="false" customHeight="false" outlineLevel="0" collapsed="false">
      <c r="D158" s="22"/>
      <c r="E158" s="22"/>
      <c r="F158" s="22"/>
    </row>
    <row r="159" customFormat="false" ht="14.25" hidden="false" customHeight="false" outlineLevel="0" collapsed="false">
      <c r="D159" s="22"/>
      <c r="E159" s="22"/>
      <c r="F159" s="22"/>
    </row>
    <row r="160" customFormat="false" ht="14.25" hidden="false" customHeight="false" outlineLevel="0" collapsed="false">
      <c r="D160" s="22"/>
      <c r="E160" s="22"/>
      <c r="F160" s="22"/>
    </row>
    <row r="161" customFormat="false" ht="14.25" hidden="false" customHeight="false" outlineLevel="0" collapsed="false">
      <c r="D161" s="22"/>
      <c r="E161" s="22"/>
      <c r="F161" s="22"/>
    </row>
    <row r="162" customFormat="false" ht="14.25" hidden="false" customHeight="false" outlineLevel="0" collapsed="false">
      <c r="D162" s="22"/>
      <c r="E162" s="22"/>
      <c r="F162" s="22"/>
    </row>
    <row r="163" customFormat="false" ht="14.25" hidden="false" customHeight="false" outlineLevel="0" collapsed="false">
      <c r="D163" s="22"/>
      <c r="E163" s="22"/>
      <c r="F163" s="22"/>
    </row>
    <row r="164" customFormat="false" ht="14.25" hidden="false" customHeight="false" outlineLevel="0" collapsed="false">
      <c r="D164" s="22"/>
      <c r="E164" s="22"/>
      <c r="F164" s="22"/>
    </row>
    <row r="165" customFormat="false" ht="14.25" hidden="false" customHeight="false" outlineLevel="0" collapsed="false">
      <c r="D165" s="22"/>
      <c r="E165" s="22"/>
      <c r="F165" s="22"/>
    </row>
    <row r="166" customFormat="false" ht="14.25" hidden="false" customHeight="false" outlineLevel="0" collapsed="false">
      <c r="D166" s="22"/>
      <c r="E166" s="22"/>
      <c r="F166" s="22"/>
    </row>
    <row r="167" customFormat="false" ht="14.25" hidden="false" customHeight="false" outlineLevel="0" collapsed="false">
      <c r="D167" s="22"/>
      <c r="E167" s="22"/>
      <c r="F167" s="22"/>
    </row>
    <row r="168" customFormat="false" ht="14.25" hidden="false" customHeight="false" outlineLevel="0" collapsed="false">
      <c r="D168" s="22"/>
      <c r="E168" s="22"/>
      <c r="F168" s="22"/>
    </row>
    <row r="169" customFormat="false" ht="14.25" hidden="false" customHeight="false" outlineLevel="0" collapsed="false">
      <c r="D169" s="22"/>
      <c r="E169" s="22"/>
      <c r="F169" s="22"/>
    </row>
    <row r="170" customFormat="false" ht="14.25" hidden="false" customHeight="false" outlineLevel="0" collapsed="false">
      <c r="D170" s="22"/>
      <c r="E170" s="22"/>
      <c r="F170" s="22"/>
    </row>
    <row r="171" customFormat="false" ht="14.25" hidden="false" customHeight="false" outlineLevel="0" collapsed="false">
      <c r="D171" s="22"/>
      <c r="E171" s="22"/>
      <c r="F171" s="22"/>
    </row>
    <row r="172" customFormat="false" ht="14.25" hidden="false" customHeight="false" outlineLevel="0" collapsed="false">
      <c r="D172" s="22"/>
      <c r="E172" s="22"/>
      <c r="F172" s="22"/>
    </row>
    <row r="173" customFormat="false" ht="14.25" hidden="false" customHeight="false" outlineLevel="0" collapsed="false">
      <c r="D173" s="22"/>
      <c r="E173" s="22"/>
      <c r="F173" s="22"/>
    </row>
    <row r="174" customFormat="false" ht="14.25" hidden="false" customHeight="false" outlineLevel="0" collapsed="false">
      <c r="D174" s="22"/>
      <c r="E174" s="22"/>
      <c r="F174" s="22"/>
    </row>
    <row r="175" customFormat="false" ht="14.25" hidden="false" customHeight="false" outlineLevel="0" collapsed="false">
      <c r="D175" s="22"/>
      <c r="E175" s="22"/>
      <c r="F175" s="22"/>
    </row>
    <row r="176" customFormat="false" ht="14.25" hidden="false" customHeight="false" outlineLevel="0" collapsed="false">
      <c r="D176" s="22"/>
      <c r="E176" s="22"/>
      <c r="F176" s="22"/>
    </row>
    <row r="177" customFormat="false" ht="14.25" hidden="false" customHeight="false" outlineLevel="0" collapsed="false">
      <c r="D177" s="22"/>
      <c r="E177" s="22"/>
      <c r="F177" s="22"/>
    </row>
    <row r="178" customFormat="false" ht="14.25" hidden="false" customHeight="false" outlineLevel="0" collapsed="false">
      <c r="D178" s="22"/>
      <c r="E178" s="22"/>
      <c r="F178" s="22"/>
    </row>
    <row r="179" customFormat="false" ht="14.25" hidden="false" customHeight="false" outlineLevel="0" collapsed="false">
      <c r="D179" s="22"/>
      <c r="E179" s="22"/>
      <c r="F179" s="22"/>
    </row>
    <row r="180" customFormat="false" ht="14.25" hidden="false" customHeight="false" outlineLevel="0" collapsed="false">
      <c r="D180" s="22"/>
      <c r="E180" s="22"/>
      <c r="F180" s="22"/>
    </row>
    <row r="181" customFormat="false" ht="14.25" hidden="false" customHeight="false" outlineLevel="0" collapsed="false">
      <c r="D181" s="22"/>
      <c r="E181" s="22"/>
      <c r="F181" s="22"/>
    </row>
    <row r="182" customFormat="false" ht="14.25" hidden="false" customHeight="false" outlineLevel="0" collapsed="false">
      <c r="D182" s="22"/>
      <c r="E182" s="22"/>
      <c r="F182" s="22"/>
    </row>
    <row r="183" customFormat="false" ht="14.25" hidden="false" customHeight="false" outlineLevel="0" collapsed="false">
      <c r="D183" s="22"/>
      <c r="E183" s="22"/>
      <c r="F183" s="22"/>
    </row>
    <row r="184" customFormat="false" ht="14.25" hidden="false" customHeight="false" outlineLevel="0" collapsed="false">
      <c r="D184" s="22"/>
      <c r="E184" s="22"/>
      <c r="F184" s="22"/>
    </row>
    <row r="185" customFormat="false" ht="14.25" hidden="false" customHeight="false" outlineLevel="0" collapsed="false">
      <c r="D185" s="22"/>
      <c r="E185" s="22"/>
      <c r="F185" s="22"/>
    </row>
    <row r="186" customFormat="false" ht="14.25" hidden="false" customHeight="false" outlineLevel="0" collapsed="false">
      <c r="D186" s="22"/>
      <c r="E186" s="22"/>
      <c r="F186" s="22"/>
    </row>
    <row r="187" customFormat="false" ht="14.25" hidden="false" customHeight="false" outlineLevel="0" collapsed="false">
      <c r="D187" s="22"/>
      <c r="E187" s="22"/>
      <c r="F187" s="22"/>
    </row>
    <row r="188" customFormat="false" ht="14.25" hidden="false" customHeight="false" outlineLevel="0" collapsed="false">
      <c r="D188" s="22"/>
      <c r="E188" s="22"/>
      <c r="F188" s="22"/>
    </row>
    <row r="189" customFormat="false" ht="14.25" hidden="false" customHeight="false" outlineLevel="0" collapsed="false">
      <c r="D189" s="22"/>
      <c r="E189" s="22"/>
      <c r="F189" s="22"/>
    </row>
    <row r="190" customFormat="false" ht="14.25" hidden="false" customHeight="false" outlineLevel="0" collapsed="false">
      <c r="D190" s="22"/>
      <c r="E190" s="22"/>
      <c r="F190" s="22"/>
    </row>
    <row r="191" customFormat="false" ht="14.25" hidden="false" customHeight="false" outlineLevel="0" collapsed="false">
      <c r="D191" s="22"/>
      <c r="E191" s="22"/>
      <c r="F191" s="22"/>
    </row>
    <row r="192" customFormat="false" ht="14.25" hidden="false" customHeight="false" outlineLevel="0" collapsed="false">
      <c r="D192" s="22"/>
      <c r="E192" s="22"/>
      <c r="F192" s="22"/>
    </row>
    <row r="193" customFormat="false" ht="14.25" hidden="false" customHeight="false" outlineLevel="0" collapsed="false">
      <c r="D193" s="22"/>
      <c r="E193" s="22"/>
      <c r="F193" s="22"/>
    </row>
    <row r="194" customFormat="false" ht="14.25" hidden="false" customHeight="false" outlineLevel="0" collapsed="false">
      <c r="D194" s="22"/>
      <c r="E194" s="22"/>
      <c r="F194" s="22"/>
    </row>
    <row r="195" customFormat="false" ht="14.25" hidden="false" customHeight="false" outlineLevel="0" collapsed="false">
      <c r="D195" s="22"/>
      <c r="E195" s="22"/>
      <c r="F195" s="22"/>
    </row>
    <row r="196" customFormat="false" ht="14.25" hidden="false" customHeight="false" outlineLevel="0" collapsed="false">
      <c r="D196" s="22"/>
      <c r="E196" s="22"/>
      <c r="F196" s="22"/>
    </row>
    <row r="197" customFormat="false" ht="14.25" hidden="false" customHeight="false" outlineLevel="0" collapsed="false">
      <c r="D197" s="22"/>
      <c r="E197" s="22"/>
      <c r="F197" s="22"/>
    </row>
    <row r="198" customFormat="false" ht="14.25" hidden="false" customHeight="false" outlineLevel="0" collapsed="false">
      <c r="D198" s="22"/>
      <c r="E198" s="22"/>
      <c r="F198" s="22"/>
    </row>
    <row r="199" customFormat="false" ht="14.25" hidden="false" customHeight="false" outlineLevel="0" collapsed="false">
      <c r="D199" s="22"/>
      <c r="E199" s="22"/>
      <c r="F199" s="22"/>
    </row>
    <row r="200" customFormat="false" ht="14.25" hidden="false" customHeight="false" outlineLevel="0" collapsed="false">
      <c r="D200" s="22"/>
      <c r="E200" s="22"/>
      <c r="F200" s="22"/>
    </row>
    <row r="201" customFormat="false" ht="14.25" hidden="false" customHeight="false" outlineLevel="0" collapsed="false">
      <c r="D201" s="22"/>
      <c r="E201" s="22"/>
      <c r="F201" s="22"/>
    </row>
    <row r="202" customFormat="false" ht="14.25" hidden="false" customHeight="false" outlineLevel="0" collapsed="false">
      <c r="D202" s="22"/>
      <c r="E202" s="22"/>
      <c r="F202" s="22"/>
    </row>
    <row r="203" customFormat="false" ht="14.25" hidden="false" customHeight="false" outlineLevel="0" collapsed="false">
      <c r="D203" s="22"/>
      <c r="E203" s="22"/>
      <c r="F203" s="22"/>
    </row>
    <row r="204" customFormat="false" ht="14.25" hidden="false" customHeight="false" outlineLevel="0" collapsed="false">
      <c r="D204" s="22"/>
      <c r="E204" s="22"/>
      <c r="F204" s="22"/>
    </row>
    <row r="205" customFormat="false" ht="14.25" hidden="false" customHeight="false" outlineLevel="0" collapsed="false">
      <c r="D205" s="22"/>
      <c r="E205" s="22"/>
      <c r="F205" s="22"/>
    </row>
    <row r="206" customFormat="false" ht="14.25" hidden="false" customHeight="false" outlineLevel="0" collapsed="false">
      <c r="D206" s="22"/>
      <c r="E206" s="22"/>
      <c r="F206" s="22"/>
    </row>
    <row r="207" customFormat="false" ht="14.25" hidden="false" customHeight="false" outlineLevel="0" collapsed="false">
      <c r="D207" s="22"/>
      <c r="E207" s="22"/>
      <c r="F207" s="22"/>
    </row>
    <row r="208" customFormat="false" ht="14.25" hidden="false" customHeight="false" outlineLevel="0" collapsed="false">
      <c r="D208" s="22"/>
      <c r="E208" s="22"/>
      <c r="F208" s="22"/>
    </row>
    <row r="209" customFormat="false" ht="14.25" hidden="false" customHeight="false" outlineLevel="0" collapsed="false">
      <c r="D209" s="22"/>
      <c r="E209" s="22"/>
      <c r="F209" s="22"/>
    </row>
    <row r="210" customFormat="false" ht="14.25" hidden="false" customHeight="false" outlineLevel="0" collapsed="false">
      <c r="D210" s="22"/>
      <c r="E210" s="22"/>
      <c r="F210" s="22"/>
    </row>
    <row r="211" customFormat="false" ht="14.25" hidden="false" customHeight="false" outlineLevel="0" collapsed="false">
      <c r="D211" s="22"/>
      <c r="E211" s="22"/>
      <c r="F211" s="22"/>
    </row>
    <row r="212" customFormat="false" ht="14.25" hidden="false" customHeight="false" outlineLevel="0" collapsed="false">
      <c r="D212" s="22"/>
      <c r="E212" s="22"/>
      <c r="F212" s="22"/>
    </row>
    <row r="213" customFormat="false" ht="14.25" hidden="false" customHeight="false" outlineLevel="0" collapsed="false">
      <c r="D213" s="22"/>
      <c r="E213" s="22"/>
      <c r="F213" s="22"/>
    </row>
    <row r="214" customFormat="false" ht="14.25" hidden="false" customHeight="false" outlineLevel="0" collapsed="false">
      <c r="D214" s="22"/>
      <c r="E214" s="22"/>
      <c r="F214" s="22"/>
    </row>
    <row r="215" customFormat="false" ht="14.25" hidden="false" customHeight="false" outlineLevel="0" collapsed="false">
      <c r="D215" s="22"/>
      <c r="E215" s="22"/>
      <c r="F215" s="22"/>
    </row>
    <row r="216" customFormat="false" ht="14.25" hidden="false" customHeight="false" outlineLevel="0" collapsed="false">
      <c r="D216" s="22"/>
      <c r="E216" s="22"/>
      <c r="F216" s="22"/>
    </row>
    <row r="217" customFormat="false" ht="14.25" hidden="false" customHeight="false" outlineLevel="0" collapsed="false">
      <c r="D217" s="22"/>
      <c r="E217" s="22"/>
      <c r="F217" s="22"/>
    </row>
    <row r="218" customFormat="false" ht="14.25" hidden="false" customHeight="false" outlineLevel="0" collapsed="false">
      <c r="D218" s="22"/>
      <c r="E218" s="22"/>
      <c r="F218" s="22"/>
    </row>
    <row r="219" customFormat="false" ht="14.25" hidden="false" customHeight="false" outlineLevel="0" collapsed="false">
      <c r="D219" s="22"/>
      <c r="E219" s="22"/>
      <c r="F219" s="22"/>
    </row>
    <row r="220" customFormat="false" ht="14.25" hidden="false" customHeight="false" outlineLevel="0" collapsed="false">
      <c r="D220" s="22"/>
      <c r="E220" s="22"/>
      <c r="F220" s="22"/>
    </row>
    <row r="221" customFormat="false" ht="14.25" hidden="false" customHeight="false" outlineLevel="0" collapsed="false">
      <c r="D221" s="22"/>
      <c r="E221" s="22"/>
      <c r="F221" s="22"/>
    </row>
    <row r="222" customFormat="false" ht="14.25" hidden="false" customHeight="false" outlineLevel="0" collapsed="false">
      <c r="D222" s="22"/>
      <c r="E222" s="22"/>
      <c r="F222" s="22"/>
    </row>
    <row r="223" customFormat="false" ht="14.25" hidden="false" customHeight="false" outlineLevel="0" collapsed="false">
      <c r="D223" s="22"/>
      <c r="E223" s="22"/>
      <c r="F223" s="22"/>
    </row>
    <row r="224" customFormat="false" ht="14.25" hidden="false" customHeight="false" outlineLevel="0" collapsed="false">
      <c r="D224" s="22"/>
      <c r="E224" s="22"/>
      <c r="F224" s="22"/>
    </row>
    <row r="225" customFormat="false" ht="14.25" hidden="false" customHeight="false" outlineLevel="0" collapsed="false">
      <c r="D225" s="22"/>
      <c r="E225" s="22"/>
      <c r="F225" s="22"/>
    </row>
    <row r="226" customFormat="false" ht="14.25" hidden="false" customHeight="false" outlineLevel="0" collapsed="false">
      <c r="D226" s="22"/>
      <c r="E226" s="22"/>
      <c r="F226" s="22"/>
    </row>
    <row r="227" customFormat="false" ht="14.25" hidden="false" customHeight="false" outlineLevel="0" collapsed="false">
      <c r="D227" s="22"/>
      <c r="E227" s="22"/>
      <c r="F227" s="22"/>
    </row>
    <row r="228" customFormat="false" ht="14.25" hidden="false" customHeight="false" outlineLevel="0" collapsed="false">
      <c r="D228" s="22"/>
      <c r="E228" s="22"/>
      <c r="F228" s="22"/>
    </row>
    <row r="229" customFormat="false" ht="14.25" hidden="false" customHeight="false" outlineLevel="0" collapsed="false">
      <c r="D229" s="22"/>
      <c r="E229" s="22"/>
      <c r="F229" s="22"/>
    </row>
    <row r="230" customFormat="false" ht="14.25" hidden="false" customHeight="false" outlineLevel="0" collapsed="false">
      <c r="D230" s="22"/>
      <c r="E230" s="22"/>
      <c r="F230" s="22"/>
    </row>
    <row r="231" customFormat="false" ht="14.25" hidden="false" customHeight="false" outlineLevel="0" collapsed="false">
      <c r="D231" s="22"/>
      <c r="E231" s="22"/>
      <c r="F231" s="22"/>
    </row>
    <row r="232" customFormat="false" ht="14.25" hidden="false" customHeight="false" outlineLevel="0" collapsed="false">
      <c r="D232" s="22"/>
      <c r="E232" s="22"/>
      <c r="F232" s="22"/>
    </row>
    <row r="233" customFormat="false" ht="14.25" hidden="false" customHeight="false" outlineLevel="0" collapsed="false">
      <c r="D233" s="22"/>
      <c r="E233" s="22"/>
      <c r="F233" s="22"/>
    </row>
    <row r="234" customFormat="false" ht="14.25" hidden="false" customHeight="false" outlineLevel="0" collapsed="false">
      <c r="D234" s="22"/>
      <c r="E234" s="22"/>
      <c r="F234" s="22"/>
    </row>
    <row r="235" customFormat="false" ht="14.25" hidden="false" customHeight="false" outlineLevel="0" collapsed="false">
      <c r="D235" s="22"/>
      <c r="E235" s="22"/>
      <c r="F235" s="22"/>
    </row>
    <row r="236" customFormat="false" ht="14.25" hidden="false" customHeight="false" outlineLevel="0" collapsed="false">
      <c r="D236" s="22"/>
      <c r="E236" s="22"/>
      <c r="F236" s="22"/>
    </row>
    <row r="237" customFormat="false" ht="14.25" hidden="false" customHeight="false" outlineLevel="0" collapsed="false">
      <c r="D237" s="22"/>
      <c r="E237" s="22"/>
      <c r="F237" s="22"/>
    </row>
    <row r="238" customFormat="false" ht="14.25" hidden="false" customHeight="false" outlineLevel="0" collapsed="false">
      <c r="D238" s="22"/>
      <c r="E238" s="22"/>
      <c r="F238" s="22"/>
    </row>
    <row r="239" customFormat="false" ht="14.25" hidden="false" customHeight="false" outlineLevel="0" collapsed="false">
      <c r="D239" s="22"/>
      <c r="E239" s="22"/>
      <c r="F239" s="22"/>
    </row>
    <row r="240" customFormat="false" ht="14.25" hidden="false" customHeight="false" outlineLevel="0" collapsed="false">
      <c r="D240" s="22"/>
      <c r="E240" s="22"/>
      <c r="F240" s="22"/>
    </row>
    <row r="241" customFormat="false" ht="14.25" hidden="false" customHeight="false" outlineLevel="0" collapsed="false">
      <c r="D241" s="22"/>
      <c r="E241" s="22"/>
      <c r="F241" s="22"/>
    </row>
    <row r="242" customFormat="false" ht="14.25" hidden="false" customHeight="false" outlineLevel="0" collapsed="false">
      <c r="D242" s="22"/>
      <c r="E242" s="22"/>
      <c r="F242" s="22"/>
    </row>
    <row r="243" customFormat="false" ht="14.25" hidden="false" customHeight="false" outlineLevel="0" collapsed="false">
      <c r="D243" s="22"/>
      <c r="E243" s="22"/>
      <c r="F243" s="22"/>
    </row>
    <row r="244" customFormat="false" ht="14.25" hidden="false" customHeight="false" outlineLevel="0" collapsed="false">
      <c r="D244" s="22"/>
      <c r="E244" s="22"/>
      <c r="F244" s="22"/>
    </row>
    <row r="245" customFormat="false" ht="14.25" hidden="false" customHeight="false" outlineLevel="0" collapsed="false">
      <c r="D245" s="22"/>
      <c r="E245" s="22"/>
      <c r="F245" s="22"/>
    </row>
    <row r="246" customFormat="false" ht="14.25" hidden="false" customHeight="false" outlineLevel="0" collapsed="false">
      <c r="D246" s="22"/>
      <c r="E246" s="22"/>
      <c r="F246" s="22"/>
    </row>
    <row r="247" customFormat="false" ht="14.25" hidden="false" customHeight="false" outlineLevel="0" collapsed="false">
      <c r="D247" s="22"/>
      <c r="E247" s="22"/>
      <c r="F247" s="22"/>
    </row>
    <row r="248" customFormat="false" ht="14.25" hidden="false" customHeight="false" outlineLevel="0" collapsed="false">
      <c r="D248" s="22"/>
      <c r="E248" s="22"/>
      <c r="F248" s="22"/>
    </row>
    <row r="249" customFormat="false" ht="14.25" hidden="false" customHeight="false" outlineLevel="0" collapsed="false">
      <c r="D249" s="22"/>
      <c r="E249" s="22"/>
      <c r="F249" s="22"/>
    </row>
    <row r="250" customFormat="false" ht="14.25" hidden="false" customHeight="false" outlineLevel="0" collapsed="false">
      <c r="D250" s="22"/>
      <c r="E250" s="22"/>
      <c r="F250" s="22"/>
    </row>
    <row r="251" customFormat="false" ht="14.25" hidden="false" customHeight="false" outlineLevel="0" collapsed="false">
      <c r="D251" s="22"/>
      <c r="E251" s="22"/>
      <c r="F251" s="22"/>
    </row>
    <row r="252" customFormat="false" ht="14.25" hidden="false" customHeight="false" outlineLevel="0" collapsed="false">
      <c r="D252" s="22"/>
      <c r="E252" s="22"/>
      <c r="F252" s="22"/>
    </row>
    <row r="253" customFormat="false" ht="14.25" hidden="false" customHeight="false" outlineLevel="0" collapsed="false">
      <c r="D253" s="22"/>
      <c r="E253" s="22"/>
      <c r="F253" s="22"/>
    </row>
    <row r="254" customFormat="false" ht="14.25" hidden="false" customHeight="false" outlineLevel="0" collapsed="false">
      <c r="D254" s="22"/>
      <c r="E254" s="22"/>
      <c r="F254" s="22"/>
    </row>
    <row r="255" customFormat="false" ht="14.25" hidden="false" customHeight="false" outlineLevel="0" collapsed="false">
      <c r="D255" s="22"/>
      <c r="E255" s="22"/>
      <c r="F255" s="22"/>
    </row>
    <row r="256" customFormat="false" ht="14.25" hidden="false" customHeight="false" outlineLevel="0" collapsed="false">
      <c r="D256" s="22"/>
      <c r="E256" s="22"/>
      <c r="F256" s="22"/>
    </row>
    <row r="257" customFormat="false" ht="14.25" hidden="false" customHeight="false" outlineLevel="0" collapsed="false">
      <c r="D257" s="22"/>
      <c r="E257" s="22"/>
      <c r="F257" s="22"/>
    </row>
    <row r="258" customFormat="false" ht="14.25" hidden="false" customHeight="false" outlineLevel="0" collapsed="false">
      <c r="D258" s="22"/>
      <c r="E258" s="22"/>
      <c r="F258" s="22"/>
    </row>
    <row r="259" customFormat="false" ht="14.25" hidden="false" customHeight="false" outlineLevel="0" collapsed="false">
      <c r="D259" s="22"/>
      <c r="E259" s="22"/>
      <c r="F259" s="22"/>
    </row>
    <row r="260" customFormat="false" ht="14.25" hidden="false" customHeight="false" outlineLevel="0" collapsed="false">
      <c r="D260" s="22"/>
      <c r="E260" s="22"/>
      <c r="F260" s="22"/>
    </row>
    <row r="261" customFormat="false" ht="14.25" hidden="false" customHeight="false" outlineLevel="0" collapsed="false">
      <c r="D261" s="22"/>
      <c r="E261" s="22"/>
      <c r="F261" s="22"/>
    </row>
    <row r="262" customFormat="false" ht="14.25" hidden="false" customHeight="false" outlineLevel="0" collapsed="false">
      <c r="D262" s="22"/>
      <c r="E262" s="22"/>
      <c r="F262" s="22"/>
    </row>
    <row r="263" customFormat="false" ht="14.25" hidden="false" customHeight="false" outlineLevel="0" collapsed="false">
      <c r="D263" s="22"/>
      <c r="E263" s="22"/>
      <c r="F263" s="22"/>
    </row>
    <row r="264" customFormat="false" ht="14.25" hidden="false" customHeight="false" outlineLevel="0" collapsed="false">
      <c r="D264" s="22"/>
      <c r="E264" s="22"/>
      <c r="F264" s="22"/>
    </row>
    <row r="265" customFormat="false" ht="14.25" hidden="false" customHeight="false" outlineLevel="0" collapsed="false">
      <c r="D265" s="22"/>
      <c r="E265" s="22"/>
      <c r="F265" s="22"/>
    </row>
    <row r="266" customFormat="false" ht="14.25" hidden="false" customHeight="false" outlineLevel="0" collapsed="false">
      <c r="D266" s="22"/>
      <c r="E266" s="22"/>
      <c r="F266" s="22"/>
    </row>
    <row r="267" customFormat="false" ht="14.25" hidden="false" customHeight="false" outlineLevel="0" collapsed="false">
      <c r="D267" s="22"/>
      <c r="E267" s="22"/>
      <c r="F267" s="22"/>
    </row>
    <row r="268" customFormat="false" ht="14.25" hidden="false" customHeight="false" outlineLevel="0" collapsed="false">
      <c r="D268" s="22"/>
      <c r="E268" s="22"/>
      <c r="F268" s="22"/>
    </row>
    <row r="269" customFormat="false" ht="14.25" hidden="false" customHeight="false" outlineLevel="0" collapsed="false">
      <c r="D269" s="22"/>
      <c r="E269" s="22"/>
      <c r="F269" s="22"/>
    </row>
    <row r="270" customFormat="false" ht="14.25" hidden="false" customHeight="false" outlineLevel="0" collapsed="false">
      <c r="D270" s="22"/>
      <c r="E270" s="22"/>
      <c r="F270" s="22"/>
    </row>
    <row r="271" customFormat="false" ht="14.25" hidden="false" customHeight="false" outlineLevel="0" collapsed="false">
      <c r="D271" s="22"/>
      <c r="E271" s="22"/>
      <c r="F271" s="22"/>
    </row>
    <row r="272" customFormat="false" ht="14.25" hidden="false" customHeight="false" outlineLevel="0" collapsed="false">
      <c r="D272" s="22"/>
      <c r="E272" s="22"/>
      <c r="F272" s="22"/>
    </row>
    <row r="273" customFormat="false" ht="14.25" hidden="false" customHeight="false" outlineLevel="0" collapsed="false">
      <c r="D273" s="22"/>
      <c r="E273" s="22"/>
      <c r="F273" s="22"/>
    </row>
    <row r="274" customFormat="false" ht="14.25" hidden="false" customHeight="false" outlineLevel="0" collapsed="false">
      <c r="D274" s="22"/>
      <c r="E274" s="22"/>
      <c r="F274" s="22"/>
    </row>
    <row r="275" customFormat="false" ht="14.25" hidden="false" customHeight="false" outlineLevel="0" collapsed="false">
      <c r="D275" s="22"/>
      <c r="E275" s="22"/>
      <c r="F275" s="22"/>
    </row>
    <row r="276" customFormat="false" ht="14.25" hidden="false" customHeight="false" outlineLevel="0" collapsed="false">
      <c r="D276" s="22"/>
      <c r="E276" s="22"/>
      <c r="F276" s="22"/>
    </row>
    <row r="277" customFormat="false" ht="14.25" hidden="false" customHeight="false" outlineLevel="0" collapsed="false">
      <c r="D277" s="22"/>
      <c r="E277" s="22"/>
      <c r="F277" s="22"/>
    </row>
    <row r="278" customFormat="false" ht="14.25" hidden="false" customHeight="false" outlineLevel="0" collapsed="false">
      <c r="D278" s="22"/>
      <c r="E278" s="22"/>
      <c r="F278" s="22"/>
    </row>
    <row r="279" customFormat="false" ht="14.25" hidden="false" customHeight="false" outlineLevel="0" collapsed="false">
      <c r="D279" s="22"/>
      <c r="E279" s="22"/>
      <c r="F279" s="22"/>
    </row>
    <row r="280" customFormat="false" ht="14.25" hidden="false" customHeight="false" outlineLevel="0" collapsed="false">
      <c r="D280" s="22"/>
      <c r="E280" s="22"/>
      <c r="F280" s="22"/>
    </row>
    <row r="281" customFormat="false" ht="14.25" hidden="false" customHeight="false" outlineLevel="0" collapsed="false">
      <c r="D281" s="22"/>
      <c r="E281" s="22"/>
      <c r="F281" s="22"/>
    </row>
    <row r="282" customFormat="false" ht="14.25" hidden="false" customHeight="false" outlineLevel="0" collapsed="false">
      <c r="D282" s="22"/>
      <c r="E282" s="22"/>
      <c r="F282" s="22"/>
    </row>
    <row r="283" customFormat="false" ht="14.25" hidden="false" customHeight="false" outlineLevel="0" collapsed="false">
      <c r="D283" s="22"/>
      <c r="E283" s="22"/>
      <c r="F283" s="22"/>
    </row>
    <row r="284" customFormat="false" ht="14.25" hidden="false" customHeight="false" outlineLevel="0" collapsed="false">
      <c r="D284" s="22"/>
      <c r="E284" s="22"/>
      <c r="F284" s="22"/>
    </row>
    <row r="285" customFormat="false" ht="14.25" hidden="false" customHeight="false" outlineLevel="0" collapsed="false">
      <c r="D285" s="22"/>
      <c r="E285" s="22"/>
      <c r="F285" s="22"/>
    </row>
    <row r="286" customFormat="false" ht="14.25" hidden="false" customHeight="false" outlineLevel="0" collapsed="false">
      <c r="D286" s="22"/>
      <c r="E286" s="22"/>
      <c r="F286" s="22"/>
    </row>
    <row r="287" customFormat="false" ht="14.25" hidden="false" customHeight="false" outlineLevel="0" collapsed="false">
      <c r="D287" s="22"/>
      <c r="E287" s="22"/>
      <c r="F287" s="22"/>
    </row>
    <row r="288" customFormat="false" ht="14.25" hidden="false" customHeight="false" outlineLevel="0" collapsed="false">
      <c r="D288" s="22"/>
      <c r="E288" s="22"/>
      <c r="F288" s="22"/>
    </row>
    <row r="289" customFormat="false" ht="14.25" hidden="false" customHeight="false" outlineLevel="0" collapsed="false">
      <c r="D289" s="22"/>
      <c r="E289" s="22"/>
      <c r="F289" s="22"/>
    </row>
    <row r="290" customFormat="false" ht="14.25" hidden="false" customHeight="false" outlineLevel="0" collapsed="false">
      <c r="D290" s="22"/>
      <c r="E290" s="22"/>
      <c r="F290" s="22"/>
    </row>
    <row r="291" customFormat="false" ht="14.25" hidden="false" customHeight="false" outlineLevel="0" collapsed="false">
      <c r="D291" s="22"/>
      <c r="E291" s="22"/>
      <c r="F291" s="22"/>
    </row>
    <row r="292" customFormat="false" ht="14.25" hidden="false" customHeight="false" outlineLevel="0" collapsed="false">
      <c r="D292" s="22"/>
      <c r="E292" s="22"/>
      <c r="F292" s="22"/>
    </row>
    <row r="293" customFormat="false" ht="14.25" hidden="false" customHeight="false" outlineLevel="0" collapsed="false">
      <c r="D293" s="22"/>
      <c r="E293" s="22"/>
      <c r="F293" s="22"/>
    </row>
    <row r="294" customFormat="false" ht="14.25" hidden="false" customHeight="false" outlineLevel="0" collapsed="false">
      <c r="D294" s="22"/>
      <c r="E294" s="22"/>
      <c r="F294" s="22"/>
    </row>
    <row r="295" customFormat="false" ht="14.25" hidden="false" customHeight="false" outlineLevel="0" collapsed="false">
      <c r="D295" s="22"/>
      <c r="E295" s="22"/>
      <c r="F295" s="22"/>
    </row>
    <row r="296" customFormat="false" ht="14.25" hidden="false" customHeight="false" outlineLevel="0" collapsed="false">
      <c r="D296" s="22"/>
      <c r="E296" s="22"/>
      <c r="F296" s="22"/>
    </row>
    <row r="297" customFormat="false" ht="14.25" hidden="false" customHeight="false" outlineLevel="0" collapsed="false">
      <c r="D297" s="22"/>
      <c r="E297" s="22"/>
      <c r="F297" s="22"/>
    </row>
    <row r="298" customFormat="false" ht="14.25" hidden="false" customHeight="false" outlineLevel="0" collapsed="false">
      <c r="D298" s="22"/>
      <c r="E298" s="22"/>
      <c r="F298" s="22"/>
    </row>
    <row r="299" customFormat="false" ht="14.25" hidden="false" customHeight="false" outlineLevel="0" collapsed="false">
      <c r="D299" s="22"/>
      <c r="E299" s="22"/>
      <c r="F299" s="22"/>
    </row>
    <row r="300" customFormat="false" ht="14.25" hidden="false" customHeight="false" outlineLevel="0" collapsed="false">
      <c r="D300" s="22"/>
      <c r="E300" s="22"/>
      <c r="F300" s="22"/>
    </row>
    <row r="301" customFormat="false" ht="14.25" hidden="false" customHeight="false" outlineLevel="0" collapsed="false">
      <c r="D301" s="22"/>
      <c r="E301" s="22"/>
      <c r="F301" s="22"/>
    </row>
    <row r="302" customFormat="false" ht="14.25" hidden="false" customHeight="false" outlineLevel="0" collapsed="false">
      <c r="D302" s="22"/>
      <c r="E302" s="22"/>
      <c r="F302" s="22"/>
    </row>
    <row r="303" customFormat="false" ht="14.25" hidden="false" customHeight="false" outlineLevel="0" collapsed="false">
      <c r="D303" s="22"/>
      <c r="E303" s="22"/>
      <c r="F303" s="22"/>
    </row>
    <row r="304" customFormat="false" ht="14.25" hidden="false" customHeight="false" outlineLevel="0" collapsed="false">
      <c r="D304" s="22"/>
      <c r="E304" s="22"/>
      <c r="F304" s="22"/>
    </row>
    <row r="305" customFormat="false" ht="14.25" hidden="false" customHeight="false" outlineLevel="0" collapsed="false">
      <c r="D305" s="22"/>
      <c r="E305" s="22"/>
      <c r="F305" s="22"/>
    </row>
    <row r="306" customFormat="false" ht="14.25" hidden="false" customHeight="false" outlineLevel="0" collapsed="false">
      <c r="D306" s="22"/>
      <c r="E306" s="22"/>
      <c r="F306" s="22"/>
    </row>
    <row r="307" customFormat="false" ht="14.25" hidden="false" customHeight="false" outlineLevel="0" collapsed="false">
      <c r="D307" s="22"/>
      <c r="E307" s="22"/>
      <c r="F307" s="22"/>
    </row>
    <row r="308" customFormat="false" ht="14.25" hidden="false" customHeight="false" outlineLevel="0" collapsed="false">
      <c r="D308" s="22"/>
      <c r="E308" s="22"/>
      <c r="F308" s="22"/>
    </row>
    <row r="309" customFormat="false" ht="14.25" hidden="false" customHeight="false" outlineLevel="0" collapsed="false">
      <c r="D309" s="22"/>
      <c r="E309" s="22"/>
      <c r="F309" s="22"/>
    </row>
    <row r="310" customFormat="false" ht="14.25" hidden="false" customHeight="false" outlineLevel="0" collapsed="false">
      <c r="D310" s="22"/>
      <c r="E310" s="22"/>
      <c r="F310" s="22"/>
    </row>
    <row r="311" customFormat="false" ht="14.25" hidden="false" customHeight="false" outlineLevel="0" collapsed="false">
      <c r="D311" s="22"/>
      <c r="E311" s="22"/>
      <c r="F311" s="22"/>
    </row>
    <row r="312" customFormat="false" ht="14.25" hidden="false" customHeight="false" outlineLevel="0" collapsed="false">
      <c r="D312" s="22"/>
      <c r="E312" s="22"/>
      <c r="F312" s="22"/>
    </row>
    <row r="313" customFormat="false" ht="14.25" hidden="false" customHeight="false" outlineLevel="0" collapsed="false">
      <c r="D313" s="22"/>
      <c r="E313" s="22"/>
      <c r="F313" s="22"/>
    </row>
    <row r="314" customFormat="false" ht="14.25" hidden="false" customHeight="false" outlineLevel="0" collapsed="false">
      <c r="D314" s="22"/>
      <c r="E314" s="22"/>
      <c r="F314" s="22"/>
    </row>
    <row r="315" customFormat="false" ht="14.25" hidden="false" customHeight="false" outlineLevel="0" collapsed="false">
      <c r="D315" s="22"/>
      <c r="E315" s="22"/>
      <c r="F315" s="22"/>
    </row>
    <row r="316" customFormat="false" ht="14.25" hidden="false" customHeight="false" outlineLevel="0" collapsed="false">
      <c r="D316" s="22"/>
      <c r="E316" s="22"/>
      <c r="F316" s="22"/>
    </row>
    <row r="317" customFormat="false" ht="14.25" hidden="false" customHeight="false" outlineLevel="0" collapsed="false">
      <c r="D317" s="22"/>
      <c r="E317" s="22"/>
      <c r="F317" s="22"/>
    </row>
    <row r="318" customFormat="false" ht="14.25" hidden="false" customHeight="false" outlineLevel="0" collapsed="false">
      <c r="D318" s="22"/>
      <c r="E318" s="22"/>
      <c r="F318" s="22"/>
    </row>
    <row r="319" customFormat="false" ht="14.25" hidden="false" customHeight="false" outlineLevel="0" collapsed="false">
      <c r="D319" s="22"/>
      <c r="E319" s="22"/>
      <c r="F319" s="22"/>
    </row>
    <row r="320" customFormat="false" ht="14.25" hidden="false" customHeight="false" outlineLevel="0" collapsed="false">
      <c r="D320" s="22"/>
      <c r="E320" s="22"/>
      <c r="F320" s="22"/>
    </row>
    <row r="321" customFormat="false" ht="14.25" hidden="false" customHeight="false" outlineLevel="0" collapsed="false">
      <c r="D321" s="22"/>
      <c r="E321" s="22"/>
      <c r="F321" s="22"/>
    </row>
    <row r="322" customFormat="false" ht="14.25" hidden="false" customHeight="false" outlineLevel="0" collapsed="false">
      <c r="D322" s="22"/>
      <c r="E322" s="22"/>
      <c r="F322" s="22"/>
    </row>
    <row r="323" customFormat="false" ht="14.25" hidden="false" customHeight="false" outlineLevel="0" collapsed="false">
      <c r="D323" s="22"/>
      <c r="E323" s="22"/>
      <c r="F323" s="22"/>
    </row>
    <row r="324" customFormat="false" ht="14.25" hidden="false" customHeight="false" outlineLevel="0" collapsed="false">
      <c r="D324" s="22"/>
      <c r="E324" s="22"/>
      <c r="F324" s="22"/>
    </row>
    <row r="325" customFormat="false" ht="14.25" hidden="false" customHeight="false" outlineLevel="0" collapsed="false">
      <c r="D325" s="22"/>
      <c r="E325" s="22"/>
      <c r="F325" s="22"/>
    </row>
    <row r="326" customFormat="false" ht="14.25" hidden="false" customHeight="false" outlineLevel="0" collapsed="false">
      <c r="D326" s="22"/>
      <c r="E326" s="22"/>
      <c r="F326" s="22"/>
    </row>
    <row r="327" customFormat="false" ht="14.25" hidden="false" customHeight="false" outlineLevel="0" collapsed="false">
      <c r="D327" s="22"/>
      <c r="E327" s="22"/>
      <c r="F327" s="22"/>
    </row>
    <row r="328" customFormat="false" ht="14.25" hidden="false" customHeight="false" outlineLevel="0" collapsed="false">
      <c r="D328" s="22"/>
      <c r="E328" s="22"/>
      <c r="F328" s="22"/>
    </row>
    <row r="329" customFormat="false" ht="14.25" hidden="false" customHeight="false" outlineLevel="0" collapsed="false">
      <c r="D329" s="22"/>
      <c r="E329" s="22"/>
      <c r="F329" s="22"/>
    </row>
    <row r="330" customFormat="false" ht="14.25" hidden="false" customHeight="false" outlineLevel="0" collapsed="false">
      <c r="D330" s="22"/>
      <c r="E330" s="22"/>
      <c r="F330" s="22"/>
    </row>
    <row r="331" customFormat="false" ht="14.25" hidden="false" customHeight="false" outlineLevel="0" collapsed="false">
      <c r="D331" s="22"/>
      <c r="E331" s="22"/>
      <c r="F331" s="22"/>
    </row>
    <row r="332" customFormat="false" ht="14.25" hidden="false" customHeight="false" outlineLevel="0" collapsed="false">
      <c r="D332" s="22"/>
      <c r="E332" s="22"/>
      <c r="F332" s="22"/>
    </row>
    <row r="333" customFormat="false" ht="14.25" hidden="false" customHeight="false" outlineLevel="0" collapsed="false">
      <c r="D333" s="22"/>
      <c r="E333" s="22"/>
      <c r="F333" s="22"/>
    </row>
    <row r="334" customFormat="false" ht="14.25" hidden="false" customHeight="false" outlineLevel="0" collapsed="false">
      <c r="D334" s="22"/>
      <c r="E334" s="22"/>
      <c r="F334" s="22"/>
    </row>
    <row r="335" customFormat="false" ht="14.25" hidden="false" customHeight="false" outlineLevel="0" collapsed="false">
      <c r="D335" s="22"/>
      <c r="E335" s="22"/>
      <c r="F335" s="22"/>
    </row>
    <row r="336" customFormat="false" ht="14.25" hidden="false" customHeight="false" outlineLevel="0" collapsed="false">
      <c r="D336" s="22"/>
      <c r="E336" s="22"/>
      <c r="F336" s="22"/>
    </row>
    <row r="337" customFormat="false" ht="14.25" hidden="false" customHeight="false" outlineLevel="0" collapsed="false">
      <c r="D337" s="22"/>
      <c r="E337" s="22"/>
      <c r="F337" s="22"/>
    </row>
    <row r="338" customFormat="false" ht="14.25" hidden="false" customHeight="false" outlineLevel="0" collapsed="false">
      <c r="D338" s="22"/>
      <c r="E338" s="22"/>
      <c r="F338" s="22"/>
    </row>
    <row r="339" customFormat="false" ht="14.25" hidden="false" customHeight="false" outlineLevel="0" collapsed="false">
      <c r="D339" s="22"/>
      <c r="E339" s="22"/>
      <c r="F339" s="22"/>
    </row>
    <row r="340" customFormat="false" ht="14.25" hidden="false" customHeight="false" outlineLevel="0" collapsed="false">
      <c r="D340" s="22"/>
      <c r="E340" s="22"/>
      <c r="F340" s="22"/>
    </row>
    <row r="341" customFormat="false" ht="14.25" hidden="false" customHeight="false" outlineLevel="0" collapsed="false">
      <c r="D341" s="22"/>
      <c r="E341" s="22"/>
      <c r="F341" s="22"/>
    </row>
    <row r="342" customFormat="false" ht="14.25" hidden="false" customHeight="false" outlineLevel="0" collapsed="false">
      <c r="D342" s="22"/>
      <c r="E342" s="22"/>
      <c r="F342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13" activeCellId="0" sqref="H13"/>
    </sheetView>
  </sheetViews>
  <sheetFormatPr defaultColWidth="8.34375" defaultRowHeight="14.25" customHeight="true" zeroHeight="false" outlineLevelRow="0" outlineLevelCol="0"/>
  <cols>
    <col collapsed="false" customWidth="true" hidden="false" outlineLevel="0" max="1" min="1" style="26" width="12"/>
    <col collapsed="false" customWidth="true" hidden="false" outlineLevel="0" max="2" min="2" style="27" width="12"/>
  </cols>
  <sheetData>
    <row r="1" s="29" customFormat="true" ht="14.25" hidden="false" customHeight="false" outlineLevel="0" collapsed="false">
      <c r="A1" s="28" t="s">
        <v>40</v>
      </c>
      <c r="B1" s="29" t="n">
        <v>0.5</v>
      </c>
      <c r="C1" s="30" t="n">
        <v>1</v>
      </c>
      <c r="D1" s="29" t="n">
        <v>1.5</v>
      </c>
      <c r="E1" s="29" t="n">
        <v>2</v>
      </c>
      <c r="F1" s="29" t="n">
        <v>2.5</v>
      </c>
      <c r="G1" s="29" t="n">
        <v>3</v>
      </c>
      <c r="H1" s="29" t="n">
        <v>3.5</v>
      </c>
      <c r="I1" s="29" t="n">
        <v>4</v>
      </c>
      <c r="J1" s="29" t="n">
        <v>4.5</v>
      </c>
      <c r="K1" s="29" t="n">
        <v>5</v>
      </c>
      <c r="L1" s="29" t="n">
        <v>5.5</v>
      </c>
      <c r="M1" s="29" t="n">
        <v>6</v>
      </c>
      <c r="N1" s="29" t="n">
        <v>6.5</v>
      </c>
      <c r="O1" s="29" t="n">
        <v>7</v>
      </c>
    </row>
    <row r="2" customFormat="false" ht="14.25" hidden="false" customHeight="false" outlineLevel="0" collapsed="false">
      <c r="A2" s="28" t="n">
        <v>1</v>
      </c>
      <c r="B2" s="31"/>
      <c r="C2" s="8" t="n">
        <v>0</v>
      </c>
      <c r="D2" s="8" t="n">
        <v>0.5</v>
      </c>
      <c r="F2" s="8" t="s">
        <v>41</v>
      </c>
      <c r="G2" s="8" t="n">
        <v>1</v>
      </c>
      <c r="H2" s="8" t="n">
        <v>1</v>
      </c>
      <c r="K2" s="8" t="n">
        <v>2.5</v>
      </c>
      <c r="M2" s="8" t="n">
        <v>2.5</v>
      </c>
      <c r="O2" s="8" t="n">
        <v>3</v>
      </c>
    </row>
    <row r="3" customFormat="false" ht="14.25" hidden="false" customHeight="false" outlineLevel="0" collapsed="false">
      <c r="A3" s="28" t="n">
        <v>2</v>
      </c>
      <c r="D3" s="8" t="n">
        <v>1</v>
      </c>
      <c r="E3" s="8" t="n">
        <v>2</v>
      </c>
      <c r="F3" s="8" t="n">
        <v>2.5</v>
      </c>
      <c r="G3" s="8" t="n">
        <v>3</v>
      </c>
      <c r="H3" s="8" t="n">
        <v>3.5</v>
      </c>
      <c r="I3" s="8" t="n">
        <v>4</v>
      </c>
    </row>
    <row r="4" customFormat="false" ht="14.25" hidden="false" customHeight="false" outlineLevel="0" collapsed="false">
      <c r="A4" s="28" t="n">
        <v>3</v>
      </c>
      <c r="E4" s="8" t="n">
        <v>0</v>
      </c>
      <c r="F4" s="8" t="n">
        <v>0</v>
      </c>
      <c r="H4" s="8" t="n">
        <v>0.2</v>
      </c>
      <c r="J4" s="8" t="n">
        <v>0.8</v>
      </c>
    </row>
    <row r="5" customFormat="false" ht="14.25" hidden="false" customHeight="false" outlineLevel="0" collapsed="false">
      <c r="A5" s="28" t="n">
        <v>4</v>
      </c>
      <c r="B5" s="27" t="n">
        <v>2</v>
      </c>
      <c r="C5" s="8" t="n">
        <v>3</v>
      </c>
      <c r="D5" s="8" t="n">
        <v>3</v>
      </c>
      <c r="E5" s="8" t="n">
        <v>5</v>
      </c>
    </row>
    <row r="6" customFormat="false" ht="14.25" hidden="false" customHeight="false" outlineLevel="0" collapsed="false">
      <c r="A6" s="28" t="n">
        <v>5</v>
      </c>
      <c r="C6" s="8" t="n">
        <v>2</v>
      </c>
      <c r="D6" s="8" t="n">
        <v>2</v>
      </c>
      <c r="E6" s="8" t="n">
        <v>3</v>
      </c>
      <c r="F6" s="8" t="n">
        <v>4</v>
      </c>
      <c r="G6" s="8" t="n">
        <v>4</v>
      </c>
    </row>
    <row r="7" customFormat="false" ht="14.25" hidden="false" customHeight="false" outlineLevel="0" collapsed="false">
      <c r="A7" s="28" t="n">
        <v>6</v>
      </c>
      <c r="C7" s="8" t="n">
        <v>2</v>
      </c>
      <c r="D7" s="8" t="n">
        <v>3</v>
      </c>
      <c r="E7" s="8" t="n">
        <v>5</v>
      </c>
      <c r="F7" s="8" t="s">
        <v>42</v>
      </c>
    </row>
    <row r="8" customFormat="false" ht="14.25" hidden="false" customHeight="false" outlineLevel="0" collapsed="false">
      <c r="A8" s="28" t="n">
        <v>7</v>
      </c>
      <c r="C8" s="8" t="n">
        <v>1</v>
      </c>
      <c r="D8" s="8" t="n">
        <v>1.5</v>
      </c>
      <c r="E8" s="8" t="n">
        <v>2.7</v>
      </c>
      <c r="F8" s="8" t="n">
        <v>3.8</v>
      </c>
      <c r="G8" s="8" t="n">
        <v>5</v>
      </c>
    </row>
    <row r="9" customFormat="false" ht="14.25" hidden="false" customHeight="false" outlineLevel="0" collapsed="false">
      <c r="A9" s="28" t="n">
        <v>8</v>
      </c>
      <c r="C9" s="8" t="n">
        <v>0</v>
      </c>
      <c r="D9" s="8" t="n">
        <v>2</v>
      </c>
      <c r="E9" s="8" t="n">
        <v>6</v>
      </c>
    </row>
    <row r="10" customFormat="false" ht="14.25" hidden="false" customHeight="false" outlineLevel="0" collapsed="false">
      <c r="A10" s="28" t="n">
        <v>9</v>
      </c>
      <c r="C10" s="8" t="n">
        <v>0</v>
      </c>
      <c r="D10" s="8" t="n">
        <v>0</v>
      </c>
      <c r="E10" s="8" t="n">
        <v>0</v>
      </c>
      <c r="F10" s="8" t="n">
        <v>0.5</v>
      </c>
      <c r="G10" s="8" t="n">
        <v>0.75</v>
      </c>
      <c r="H10" s="8" t="n">
        <v>1</v>
      </c>
      <c r="I10" s="8" t="n">
        <v>1.2</v>
      </c>
    </row>
    <row r="11" customFormat="false" ht="14.25" hidden="false" customHeight="false" outlineLevel="0" collapsed="false">
      <c r="A11" s="28" t="n">
        <v>10</v>
      </c>
      <c r="C11" s="8" t="n">
        <v>0.1</v>
      </c>
      <c r="D11" s="8" t="n">
        <v>1</v>
      </c>
      <c r="E11" s="8" t="n">
        <v>1.5</v>
      </c>
    </row>
    <row r="12" customFormat="false" ht="14.25" hidden="false" customHeight="false" outlineLevel="0" collapsed="false">
      <c r="A12" s="28" t="n">
        <v>11</v>
      </c>
      <c r="D12" s="8" t="n">
        <v>0</v>
      </c>
      <c r="E12" s="8" t="n">
        <v>0.5</v>
      </c>
      <c r="F12" s="8" t="n">
        <v>0.5</v>
      </c>
      <c r="G12" s="8" t="n">
        <v>0.5</v>
      </c>
      <c r="H12" s="8" t="n">
        <v>1</v>
      </c>
      <c r="I12" s="8" t="n">
        <v>1</v>
      </c>
      <c r="J12" s="8" t="n">
        <v>1</v>
      </c>
      <c r="K12" s="8" t="n">
        <v>1</v>
      </c>
      <c r="L12" s="8" t="n">
        <v>1</v>
      </c>
      <c r="M12" s="8" t="n">
        <v>1</v>
      </c>
    </row>
    <row r="13" customFormat="false" ht="14.25" hidden="false" customHeight="false" outlineLevel="0" collapsed="false">
      <c r="A13" s="28" t="n">
        <v>12</v>
      </c>
      <c r="C13" s="8" t="n">
        <v>0</v>
      </c>
      <c r="D13" s="8" t="n">
        <v>0</v>
      </c>
      <c r="E13" s="8" t="n">
        <v>1</v>
      </c>
      <c r="F13" s="8" t="n">
        <v>2</v>
      </c>
      <c r="G13" s="8" t="n">
        <v>3</v>
      </c>
    </row>
    <row r="14" customFormat="false" ht="14.25" hidden="false" customHeight="false" outlineLevel="0" collapsed="false">
      <c r="A14" s="28" t="n">
        <v>13</v>
      </c>
      <c r="C14" s="8" t="n">
        <v>0</v>
      </c>
      <c r="D14" s="8" t="n">
        <v>0.1</v>
      </c>
      <c r="E14" s="8" t="n">
        <v>2</v>
      </c>
      <c r="F14" s="8" t="n">
        <v>2.2</v>
      </c>
      <c r="G14" s="8" t="n">
        <v>3</v>
      </c>
      <c r="H14" s="8" t="n">
        <v>4.2</v>
      </c>
      <c r="I14" s="8" t="n">
        <v>4.3</v>
      </c>
      <c r="J14" s="8" t="n">
        <v>4.5</v>
      </c>
    </row>
    <row r="15" customFormat="false" ht="14.25" hidden="false" customHeight="false" outlineLevel="0" collapsed="false">
      <c r="A15" s="28" t="n">
        <v>14</v>
      </c>
      <c r="C15" s="8" t="n">
        <v>0.5</v>
      </c>
      <c r="D15" s="8" t="n">
        <v>0.5</v>
      </c>
      <c r="E15" s="8" t="n">
        <v>0.5</v>
      </c>
      <c r="F15" s="8" t="n">
        <v>0.6</v>
      </c>
      <c r="G15" s="8" t="n">
        <v>0.8</v>
      </c>
      <c r="H15" s="8" t="n">
        <v>0.8</v>
      </c>
      <c r="I15" s="8" t="n">
        <v>1</v>
      </c>
      <c r="J15" s="8" t="n">
        <v>1</v>
      </c>
      <c r="K15" s="8" t="n">
        <v>1.3</v>
      </c>
    </row>
    <row r="16" customFormat="false" ht="14.25" hidden="false" customHeight="false" outlineLevel="0" collapsed="false">
      <c r="A16" s="28" t="n">
        <v>15</v>
      </c>
      <c r="C16" s="8" t="n">
        <v>0</v>
      </c>
      <c r="D16" s="8" t="n">
        <v>0.3</v>
      </c>
      <c r="E16" s="8" t="n">
        <v>0.5</v>
      </c>
      <c r="F16" s="8" t="n">
        <v>0.8</v>
      </c>
      <c r="G16" s="8" t="n">
        <v>1</v>
      </c>
      <c r="H16" s="8" t="n">
        <v>1</v>
      </c>
      <c r="I16" s="8" t="n">
        <v>1.3</v>
      </c>
    </row>
    <row r="17" customFormat="false" ht="14.25" hidden="false" customHeight="false" outlineLevel="0" collapsed="false">
      <c r="A17" s="28" t="n">
        <v>16</v>
      </c>
      <c r="C17" s="8" t="n">
        <v>1</v>
      </c>
      <c r="D17" s="8" t="n">
        <v>1.2</v>
      </c>
      <c r="E17" s="8" t="n">
        <v>1.5</v>
      </c>
      <c r="F17" s="8" t="n">
        <v>2.5</v>
      </c>
      <c r="G17" s="8" t="n">
        <v>2.5</v>
      </c>
      <c r="H17" s="8" t="n">
        <v>4</v>
      </c>
    </row>
    <row r="18" customFormat="false" ht="14.25" hidden="false" customHeight="false" outlineLevel="0" collapsed="false">
      <c r="A18" s="28" t="n">
        <v>17</v>
      </c>
      <c r="C18" s="8" t="n">
        <v>1.5</v>
      </c>
      <c r="D18" s="8" t="n">
        <v>4</v>
      </c>
    </row>
    <row r="19" customFormat="false" ht="14.25" hidden="false" customHeight="false" outlineLevel="0" collapsed="false">
      <c r="A19" s="28" t="n">
        <v>18</v>
      </c>
      <c r="C19" s="8" t="n">
        <v>2</v>
      </c>
      <c r="D19" s="8" t="n">
        <v>3.5</v>
      </c>
      <c r="E19" s="8" t="n">
        <v>2.5</v>
      </c>
      <c r="F19" s="8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2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J35" activeCellId="0" sqref="J35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9.41"/>
    <col collapsed="false" customWidth="true" hidden="false" outlineLevel="0" max="2" min="2" style="8" width="12.89"/>
    <col collapsed="false" customWidth="false" hidden="false" outlineLevel="0" max="3" min="3" style="8" width="11.53"/>
    <col collapsed="false" customWidth="true" hidden="false" outlineLevel="0" max="5" min="5" style="8" width="12.69"/>
    <col collapsed="false" customWidth="true" hidden="false" outlineLevel="0" max="6" min="6" style="8" width="13.57"/>
    <col collapsed="false" customWidth="false" hidden="false" outlineLevel="0" max="7" min="7" style="1" width="11.54"/>
    <col collapsed="false" customWidth="true" hidden="false" outlineLevel="0" max="8" min="8" style="1" width="8.82"/>
    <col collapsed="false" customWidth="true" hidden="false" outlineLevel="0" max="9" min="9" style="1" width="10.82"/>
    <col collapsed="false" customWidth="true" hidden="false" outlineLevel="0" max="10" min="10" style="1" width="8.82"/>
  </cols>
  <sheetData>
    <row r="1" customFormat="false" ht="13.8" hidden="false" customHeight="false" outlineLevel="0" collapsed="false">
      <c r="A1" s="8" t="s">
        <v>43</v>
      </c>
      <c r="B1" s="8" t="s">
        <v>1</v>
      </c>
      <c r="C1" s="8" t="s">
        <v>44</v>
      </c>
      <c r="D1" s="8" t="s">
        <v>45</v>
      </c>
      <c r="E1" s="8" t="s">
        <v>46</v>
      </c>
      <c r="F1" s="8" t="s">
        <v>47</v>
      </c>
      <c r="G1" s="2" t="s">
        <v>4</v>
      </c>
      <c r="H1" s="2" t="s">
        <v>5</v>
      </c>
      <c r="I1" s="2" t="s">
        <v>6</v>
      </c>
      <c r="J1" s="2" t="s">
        <v>10</v>
      </c>
    </row>
    <row r="2" customFormat="false" ht="13.8" hidden="false" customHeight="false" outlineLevel="0" collapsed="false">
      <c r="A2" s="3" t="n">
        <v>1</v>
      </c>
      <c r="B2" s="3" t="s">
        <v>48</v>
      </c>
      <c r="C2" s="3" t="n">
        <v>94.17621</v>
      </c>
      <c r="D2" s="3" t="n">
        <v>0</v>
      </c>
      <c r="E2" s="3" t="n">
        <v>0</v>
      </c>
      <c r="F2" s="3" t="n">
        <v>0</v>
      </c>
      <c r="G2" s="3" t="n">
        <v>3</v>
      </c>
      <c r="H2" s="3" t="n">
        <v>2.5</v>
      </c>
      <c r="I2" s="3" t="n">
        <v>-0.5</v>
      </c>
      <c r="J2" s="3" t="n">
        <v>0.349927106111883</v>
      </c>
    </row>
    <row r="3" customFormat="false" ht="13.8" hidden="false" customHeight="false" outlineLevel="0" collapsed="false">
      <c r="A3" s="3" t="n">
        <v>1</v>
      </c>
      <c r="B3" s="3" t="s">
        <v>49</v>
      </c>
      <c r="C3" s="3" t="n">
        <v>91.91659</v>
      </c>
      <c r="D3" s="3" t="n">
        <v>0</v>
      </c>
      <c r="E3" s="3" t="n">
        <v>0</v>
      </c>
      <c r="F3" s="3" t="n">
        <v>0.3827785</v>
      </c>
      <c r="G3" s="3" t="n">
        <v>3</v>
      </c>
      <c r="H3" s="3" t="n">
        <v>2</v>
      </c>
      <c r="I3" s="3" t="n">
        <v>-1</v>
      </c>
      <c r="J3" s="3" t="n">
        <v>-0.524890659167824</v>
      </c>
    </row>
    <row r="4" customFormat="false" ht="13.8" hidden="false" customHeight="false" outlineLevel="0" collapsed="false">
      <c r="A4" s="3" t="n">
        <v>1</v>
      </c>
      <c r="B4" s="3" t="s">
        <v>50</v>
      </c>
      <c r="C4" s="3" t="n">
        <v>88.95708</v>
      </c>
      <c r="D4" s="3" t="n">
        <v>30.00001</v>
      </c>
      <c r="E4" s="3" t="n">
        <v>30.00001</v>
      </c>
      <c r="F4" s="3" t="n">
        <v>0</v>
      </c>
      <c r="G4" s="3" t="n">
        <v>3</v>
      </c>
      <c r="H4" s="3" t="n">
        <v>3</v>
      </c>
      <c r="I4" s="3" t="n">
        <v>0</v>
      </c>
      <c r="J4" s="3" t="n">
        <v>1.22474487139159</v>
      </c>
    </row>
    <row r="5" customFormat="false" ht="13.8" hidden="false" customHeight="false" outlineLevel="0" collapsed="false">
      <c r="A5" s="3" t="n">
        <v>1</v>
      </c>
      <c r="B5" s="3" t="s">
        <v>51</v>
      </c>
      <c r="C5" s="3" t="n">
        <v>91.8166</v>
      </c>
      <c r="D5" s="3" t="n">
        <v>137.7858</v>
      </c>
      <c r="E5" s="3" t="n">
        <v>137.7858</v>
      </c>
      <c r="F5" s="3" t="n">
        <v>0</v>
      </c>
      <c r="G5" s="3" t="n">
        <v>3</v>
      </c>
      <c r="H5" s="3" t="n">
        <v>1.7</v>
      </c>
      <c r="I5" s="3" t="n">
        <v>-1.3</v>
      </c>
      <c r="J5" s="3" t="n">
        <v>-1.04978131833565</v>
      </c>
    </row>
    <row r="6" customFormat="false" ht="13.8" hidden="false" customHeight="false" outlineLevel="0" collapsed="false">
      <c r="A6" s="8" t="n">
        <v>2</v>
      </c>
      <c r="B6" s="8" t="s">
        <v>48</v>
      </c>
      <c r="C6" s="8" t="n">
        <v>90.59681</v>
      </c>
      <c r="D6" s="8" t="n">
        <v>0</v>
      </c>
      <c r="E6" s="8" t="n">
        <v>0</v>
      </c>
      <c r="F6" s="8" t="n">
        <v>0</v>
      </c>
      <c r="G6" s="22" t="n">
        <v>4</v>
      </c>
      <c r="H6" s="22" t="n">
        <v>2</v>
      </c>
      <c r="I6" s="22" t="n">
        <v>-2</v>
      </c>
      <c r="J6" s="22" t="n">
        <v>-0.5</v>
      </c>
    </row>
    <row r="7" customFormat="false" ht="13.8" hidden="false" customHeight="false" outlineLevel="0" collapsed="false">
      <c r="A7" s="8" t="n">
        <v>2</v>
      </c>
      <c r="B7" s="8" t="s">
        <v>49</v>
      </c>
      <c r="C7" s="8" t="n">
        <v>90.53682</v>
      </c>
      <c r="D7" s="8" t="n">
        <v>0</v>
      </c>
      <c r="E7" s="8" t="n">
        <v>0</v>
      </c>
      <c r="F7" s="8" t="n">
        <v>0.5982711</v>
      </c>
      <c r="G7" s="22" t="n">
        <v>4</v>
      </c>
      <c r="H7" s="22" t="n">
        <v>3</v>
      </c>
      <c r="I7" s="22" t="n">
        <v>-1</v>
      </c>
      <c r="J7" s="22" t="n">
        <v>1.5</v>
      </c>
    </row>
    <row r="8" customFormat="false" ht="13.8" hidden="false" customHeight="false" outlineLevel="0" collapsed="false">
      <c r="A8" s="8" t="n">
        <v>2</v>
      </c>
      <c r="B8" s="8" t="s">
        <v>50</v>
      </c>
      <c r="C8" s="8" t="n">
        <v>90.6568</v>
      </c>
      <c r="D8" s="8" t="n">
        <v>30.00001</v>
      </c>
      <c r="E8" s="8" t="n">
        <v>30.00001</v>
      </c>
      <c r="F8" s="8" t="n">
        <v>0</v>
      </c>
      <c r="G8" s="22" t="n">
        <v>4</v>
      </c>
      <c r="H8" s="22" t="n">
        <v>2</v>
      </c>
      <c r="I8" s="22" t="n">
        <v>-2</v>
      </c>
      <c r="J8" s="22" t="n">
        <v>-0.5</v>
      </c>
    </row>
    <row r="9" s="8" customFormat="true" ht="13.8" hidden="false" customHeight="false" outlineLevel="0" collapsed="false">
      <c r="A9" s="8" t="n">
        <v>2</v>
      </c>
      <c r="B9" s="8" t="s">
        <v>51</v>
      </c>
      <c r="C9" s="8" t="n">
        <v>91.03674</v>
      </c>
      <c r="D9" s="8" t="n">
        <v>30.00001</v>
      </c>
      <c r="E9" s="8" t="n">
        <v>30.00002</v>
      </c>
      <c r="F9" s="8" t="n">
        <v>0.6447297</v>
      </c>
      <c r="G9" s="32" t="n">
        <v>4</v>
      </c>
      <c r="H9" s="32" t="n">
        <v>2</v>
      </c>
      <c r="I9" s="32" t="n">
        <v>-2</v>
      </c>
      <c r="J9" s="32" t="n">
        <v>-0.5</v>
      </c>
    </row>
    <row r="10" customFormat="false" ht="13.8" hidden="false" customHeight="false" outlineLevel="0" collapsed="false">
      <c r="A10" s="3" t="n">
        <v>3</v>
      </c>
      <c r="B10" s="3" t="s">
        <v>48</v>
      </c>
      <c r="C10" s="3" t="n">
        <v>90.47683</v>
      </c>
      <c r="D10" s="3" t="n">
        <v>0</v>
      </c>
      <c r="E10" s="3" t="n">
        <v>0</v>
      </c>
      <c r="F10" s="3" t="n">
        <v>0</v>
      </c>
      <c r="G10" s="3" t="n">
        <v>0.8</v>
      </c>
      <c r="H10" s="3" t="n">
        <v>5</v>
      </c>
      <c r="I10" s="3" t="n">
        <v>4.2</v>
      </c>
      <c r="J10" s="3" t="n">
        <v>1.44337567297406</v>
      </c>
    </row>
    <row r="11" customFormat="false" ht="13.8" hidden="false" customHeight="false" outlineLevel="0" collapsed="false">
      <c r="A11" s="3" t="n">
        <v>3</v>
      </c>
      <c r="B11" s="3" t="s">
        <v>49</v>
      </c>
      <c r="C11" s="3" t="n">
        <v>91.11672</v>
      </c>
      <c r="D11" s="3" t="n">
        <v>0</v>
      </c>
      <c r="E11" s="3" t="n">
        <v>0</v>
      </c>
      <c r="F11" s="3" t="n">
        <v>0</v>
      </c>
      <c r="G11" s="3" t="n">
        <v>0.8</v>
      </c>
      <c r="H11" s="3" t="n">
        <v>2</v>
      </c>
      <c r="I11" s="3" t="n">
        <v>1.2</v>
      </c>
      <c r="J11" s="3" t="n">
        <v>-0.288675134594813</v>
      </c>
    </row>
    <row r="12" customFormat="false" ht="13.8" hidden="false" customHeight="false" outlineLevel="0" collapsed="false">
      <c r="A12" s="3" t="n">
        <v>3</v>
      </c>
      <c r="B12" s="3" t="s">
        <v>50</v>
      </c>
      <c r="C12" s="3" t="n">
        <v>90.77678</v>
      </c>
      <c r="D12" s="3" t="n">
        <v>33.12972</v>
      </c>
      <c r="E12" s="3" t="n">
        <v>82.15144</v>
      </c>
      <c r="F12" s="3" t="n">
        <v>0</v>
      </c>
      <c r="G12" s="3" t="n">
        <v>0.8</v>
      </c>
      <c r="H12" s="3" t="n">
        <v>1</v>
      </c>
      <c r="I12" s="3" t="n">
        <v>0.2</v>
      </c>
      <c r="J12" s="3" t="n">
        <v>-0.866025403784439</v>
      </c>
    </row>
    <row r="13" customFormat="false" ht="13.8" hidden="false" customHeight="false" outlineLevel="0" collapsed="false">
      <c r="A13" s="3" t="n">
        <v>3</v>
      </c>
      <c r="B13" s="3" t="s">
        <v>51</v>
      </c>
      <c r="C13" s="3" t="n">
        <v>91.15672</v>
      </c>
      <c r="D13" s="3" t="n">
        <v>122.8136</v>
      </c>
      <c r="E13" s="3" t="n">
        <v>122.836</v>
      </c>
      <c r="F13" s="3" t="n">
        <v>0.8031245</v>
      </c>
      <c r="G13" s="3" t="n">
        <v>0.8</v>
      </c>
      <c r="H13" s="3" t="n">
        <v>2</v>
      </c>
      <c r="I13" s="3" t="n">
        <v>1.2</v>
      </c>
      <c r="J13" s="3" t="n">
        <v>-0.288675134594813</v>
      </c>
    </row>
    <row r="14" customFormat="false" ht="13.8" hidden="false" customHeight="false" outlineLevel="0" collapsed="false">
      <c r="A14" s="33" t="n">
        <v>6</v>
      </c>
      <c r="B14" s="33" t="s">
        <v>48</v>
      </c>
      <c r="C14" s="33" t="n">
        <v>90.79678</v>
      </c>
      <c r="D14" s="33" t="n">
        <v>0</v>
      </c>
      <c r="E14" s="33" t="n">
        <v>0</v>
      </c>
      <c r="F14" s="33" t="n">
        <v>0</v>
      </c>
      <c r="G14" s="22" t="n">
        <v>2.5</v>
      </c>
      <c r="H14" s="22" t="n">
        <v>4</v>
      </c>
      <c r="I14" s="22" t="n">
        <v>1.5</v>
      </c>
      <c r="J14" s="22" t="n">
        <v>1.3228756555323</v>
      </c>
    </row>
    <row r="15" customFormat="false" ht="13.8" hidden="false" customHeight="false" outlineLevel="0" collapsed="false">
      <c r="A15" s="8" t="n">
        <v>6</v>
      </c>
      <c r="B15" s="8" t="s">
        <v>49</v>
      </c>
      <c r="C15" s="8" t="n">
        <v>90.6568</v>
      </c>
      <c r="D15" s="8" t="n">
        <v>0</v>
      </c>
      <c r="E15" s="8" t="n">
        <v>0</v>
      </c>
      <c r="F15" s="8" t="n">
        <v>0</v>
      </c>
      <c r="G15" s="22" t="n">
        <v>2.5</v>
      </c>
      <c r="H15" s="22" t="n">
        <v>1</v>
      </c>
      <c r="I15" s="22" t="n">
        <v>-1.5</v>
      </c>
      <c r="J15" s="22" t="n">
        <v>-0.944911182523068</v>
      </c>
    </row>
    <row r="16" customFormat="false" ht="13.8" hidden="false" customHeight="false" outlineLevel="0" collapsed="false">
      <c r="A16" s="8" t="n">
        <v>6</v>
      </c>
      <c r="B16" s="8" t="s">
        <v>50</v>
      </c>
      <c r="C16" s="8" t="n">
        <v>90.21687</v>
      </c>
      <c r="D16" s="8" t="n">
        <v>99.34421</v>
      </c>
      <c r="E16" s="8" t="n">
        <v>63.91089</v>
      </c>
      <c r="F16" s="8" t="n">
        <v>0</v>
      </c>
      <c r="G16" s="22" t="n">
        <v>2.5</v>
      </c>
      <c r="H16" s="22" t="n">
        <v>2.5</v>
      </c>
      <c r="I16" s="22" t="n">
        <v>0</v>
      </c>
      <c r="J16" s="22" t="n">
        <v>0.188982236504614</v>
      </c>
    </row>
    <row r="17" s="34" customFormat="true" ht="13.8" hidden="false" customHeight="false" outlineLevel="0" collapsed="false">
      <c r="A17" s="34" t="n">
        <v>6</v>
      </c>
      <c r="B17" s="34" t="s">
        <v>51</v>
      </c>
      <c r="C17" s="34" t="n">
        <v>90.89676</v>
      </c>
      <c r="D17" s="34" t="n">
        <v>142.562</v>
      </c>
      <c r="E17" s="34" t="n">
        <v>142.6456</v>
      </c>
      <c r="F17" s="34" t="n">
        <v>0.6620664</v>
      </c>
      <c r="G17" s="35" t="n">
        <v>2.5</v>
      </c>
      <c r="H17" s="35" t="n">
        <v>1.5</v>
      </c>
      <c r="I17" s="35" t="n">
        <v>-1</v>
      </c>
      <c r="J17" s="35" t="n">
        <v>-0.566946709513841</v>
      </c>
    </row>
    <row r="18" customFormat="false" ht="13.8" hidden="false" customHeight="false" outlineLevel="0" collapsed="false">
      <c r="A18" s="3" t="n">
        <v>7</v>
      </c>
      <c r="B18" s="3" t="s">
        <v>48</v>
      </c>
      <c r="C18" s="3" t="n">
        <v>93.73628</v>
      </c>
      <c r="D18" s="3" t="n">
        <v>0</v>
      </c>
      <c r="E18" s="3" t="n">
        <v>0</v>
      </c>
      <c r="F18" s="3" t="n">
        <v>0</v>
      </c>
      <c r="G18" s="3" t="n">
        <v>5</v>
      </c>
      <c r="H18" s="3" t="n">
        <v>3</v>
      </c>
      <c r="I18" s="3" t="n">
        <v>-2</v>
      </c>
      <c r="J18" s="3" t="n">
        <v>0.0607830673854829</v>
      </c>
    </row>
    <row r="19" customFormat="false" ht="13.8" hidden="false" customHeight="false" outlineLevel="0" collapsed="false">
      <c r="A19" s="3" t="n">
        <v>7</v>
      </c>
      <c r="B19" s="3" t="s">
        <v>49</v>
      </c>
      <c r="C19" s="3" t="n">
        <v>91.53665</v>
      </c>
      <c r="D19" s="3" t="n">
        <v>0</v>
      </c>
      <c r="E19" s="3" t="n">
        <v>0</v>
      </c>
      <c r="F19" s="3" t="n">
        <v>0.7263715</v>
      </c>
      <c r="G19" s="3" t="n">
        <v>5</v>
      </c>
      <c r="H19" s="3" t="n">
        <v>4</v>
      </c>
      <c r="I19" s="3" t="n">
        <v>-1</v>
      </c>
      <c r="J19" s="3" t="n">
        <v>1.27644441509514</v>
      </c>
    </row>
    <row r="20" customFormat="false" ht="13.8" hidden="false" customHeight="false" outlineLevel="0" collapsed="false">
      <c r="A20" s="3" t="n">
        <v>7</v>
      </c>
      <c r="B20" s="3" t="s">
        <v>50</v>
      </c>
      <c r="C20" s="3" t="n">
        <v>92.87643</v>
      </c>
      <c r="D20" s="3" t="n">
        <v>30.01333</v>
      </c>
      <c r="E20" s="3" t="n">
        <v>30.01333</v>
      </c>
      <c r="F20" s="3" t="n">
        <v>0</v>
      </c>
      <c r="G20" s="3" t="n">
        <v>5</v>
      </c>
      <c r="H20" s="3" t="n">
        <v>2.8</v>
      </c>
      <c r="I20" s="3" t="n">
        <v>-2.2</v>
      </c>
      <c r="J20" s="3" t="n">
        <v>-0.18234920215645</v>
      </c>
    </row>
    <row r="21" customFormat="false" ht="13.8" hidden="false" customHeight="false" outlineLevel="0" collapsed="false">
      <c r="A21" s="3" t="n">
        <v>7</v>
      </c>
      <c r="B21" s="3" t="s">
        <v>51</v>
      </c>
      <c r="C21" s="3" t="n">
        <v>96.65579</v>
      </c>
      <c r="D21" s="3" t="n">
        <v>86.67107</v>
      </c>
      <c r="E21" s="3" t="n">
        <v>103.2018</v>
      </c>
      <c r="F21" s="3" t="n">
        <v>1</v>
      </c>
      <c r="G21" s="3" t="n">
        <v>5</v>
      </c>
      <c r="H21" s="3" t="n">
        <v>2</v>
      </c>
      <c r="I21" s="3" t="n">
        <v>-3</v>
      </c>
      <c r="J21" s="3" t="n">
        <v>-1.15487828032418</v>
      </c>
    </row>
    <row r="22" customFormat="false" ht="13.8" hidden="false" customHeight="false" outlineLevel="0" collapsed="false">
      <c r="A22" s="8" t="n">
        <v>8</v>
      </c>
      <c r="B22" s="8" t="s">
        <v>48</v>
      </c>
      <c r="C22" s="8" t="n">
        <v>92.15655</v>
      </c>
      <c r="D22" s="8" t="n">
        <v>0</v>
      </c>
      <c r="E22" s="8" t="n">
        <v>0</v>
      </c>
      <c r="F22" s="8" t="n">
        <v>0</v>
      </c>
      <c r="G22" s="22" t="n">
        <v>6</v>
      </c>
      <c r="H22" s="22" t="n">
        <v>3</v>
      </c>
      <c r="I22" s="22" t="n">
        <v>-3</v>
      </c>
      <c r="J22" s="22" t="n">
        <v>-0.387298334620742</v>
      </c>
    </row>
    <row r="23" customFormat="false" ht="13.8" hidden="false" customHeight="false" outlineLevel="0" collapsed="false">
      <c r="A23" s="8" t="n">
        <v>8</v>
      </c>
      <c r="B23" s="8" t="s">
        <v>49</v>
      </c>
      <c r="C23" s="8" t="n">
        <v>92.01657</v>
      </c>
      <c r="D23" s="8" t="n">
        <v>0</v>
      </c>
      <c r="E23" s="8" t="n">
        <v>0</v>
      </c>
      <c r="F23" s="8" t="n">
        <v>0</v>
      </c>
      <c r="G23" s="22" t="n">
        <v>6</v>
      </c>
      <c r="H23" s="22" t="n">
        <v>5</v>
      </c>
      <c r="I23" s="22" t="n">
        <v>-1</v>
      </c>
      <c r="J23" s="22" t="n">
        <v>1.16189500386223</v>
      </c>
    </row>
    <row r="24" customFormat="false" ht="13.8" hidden="false" customHeight="false" outlineLevel="0" collapsed="false">
      <c r="A24" s="8" t="n">
        <v>8</v>
      </c>
      <c r="B24" s="8" t="s">
        <v>50</v>
      </c>
      <c r="C24" s="8" t="n">
        <v>102.2549</v>
      </c>
      <c r="D24" s="8" t="n">
        <v>30.00004</v>
      </c>
      <c r="E24" s="8" t="n">
        <v>75.00009</v>
      </c>
      <c r="F24" s="8" t="n">
        <v>0</v>
      </c>
      <c r="G24" s="22" t="n">
        <v>6</v>
      </c>
      <c r="H24" s="22" t="n">
        <v>4</v>
      </c>
      <c r="I24" s="22" t="n">
        <v>-2</v>
      </c>
      <c r="J24" s="22" t="n">
        <v>0.387298334620742</v>
      </c>
    </row>
    <row r="25" customFormat="false" ht="13.8" hidden="false" customHeight="false" outlineLevel="0" collapsed="false">
      <c r="A25" s="8" t="n">
        <v>8</v>
      </c>
      <c r="B25" s="8" t="s">
        <v>51</v>
      </c>
      <c r="C25" s="8" t="n">
        <v>94.85609</v>
      </c>
      <c r="D25" s="8" t="n">
        <v>70.16168</v>
      </c>
      <c r="E25" s="8" t="n">
        <v>55.68311</v>
      </c>
      <c r="F25" s="8" t="n">
        <v>1</v>
      </c>
      <c r="G25" s="22" t="n">
        <v>6</v>
      </c>
      <c r="H25" s="22" t="n">
        <v>2</v>
      </c>
      <c r="I25" s="22" t="n">
        <v>-4</v>
      </c>
      <c r="J25" s="22" t="n">
        <v>-1.16189500386223</v>
      </c>
    </row>
    <row r="26" customFormat="false" ht="13.8" hidden="false" customHeight="false" outlineLevel="0" collapsed="false">
      <c r="A26" s="3" t="n">
        <v>9</v>
      </c>
      <c r="B26" s="3" t="s">
        <v>48</v>
      </c>
      <c r="C26" s="3" t="n">
        <v>95.53598</v>
      </c>
      <c r="D26" s="3" t="n">
        <v>0</v>
      </c>
      <c r="E26" s="3" t="n">
        <v>0</v>
      </c>
      <c r="F26" s="3" t="n">
        <v>0</v>
      </c>
      <c r="G26" s="3" t="n">
        <v>1.2</v>
      </c>
      <c r="H26" s="3" t="n">
        <v>2.5</v>
      </c>
      <c r="I26" s="3" t="n">
        <v>1.3</v>
      </c>
      <c r="J26" s="3" t="n">
        <v>0.866025403784439</v>
      </c>
    </row>
    <row r="27" customFormat="false" ht="13.8" hidden="false" customHeight="false" outlineLevel="0" collapsed="false">
      <c r="A27" s="3" t="n">
        <v>9</v>
      </c>
      <c r="B27" s="3" t="s">
        <v>49</v>
      </c>
      <c r="C27" s="3" t="n">
        <v>91.33669</v>
      </c>
      <c r="D27" s="3" t="n">
        <v>0</v>
      </c>
      <c r="E27" s="3" t="n">
        <v>0</v>
      </c>
      <c r="F27" s="3" t="n">
        <v>0.5256775</v>
      </c>
      <c r="G27" s="3" t="n">
        <v>1.2</v>
      </c>
      <c r="H27" s="3" t="n">
        <v>2.5</v>
      </c>
      <c r="I27" s="3" t="n">
        <v>1.3</v>
      </c>
      <c r="J27" s="3" t="n">
        <v>0.866025403784439</v>
      </c>
    </row>
    <row r="28" customFormat="false" ht="13.8" hidden="false" customHeight="false" outlineLevel="0" collapsed="false">
      <c r="A28" s="3" t="n">
        <v>9</v>
      </c>
      <c r="B28" s="3" t="s">
        <v>50</v>
      </c>
      <c r="C28" s="3" t="n">
        <v>91.07673</v>
      </c>
      <c r="D28" s="3" t="n">
        <v>97.4849</v>
      </c>
      <c r="E28" s="3" t="n">
        <v>38.99411</v>
      </c>
      <c r="F28" s="3" t="n">
        <v>0</v>
      </c>
      <c r="G28" s="3" t="n">
        <v>1.2</v>
      </c>
      <c r="H28" s="3" t="n">
        <v>1</v>
      </c>
      <c r="I28" s="3" t="n">
        <v>-0.2</v>
      </c>
      <c r="J28" s="3" t="n">
        <v>-0.866025403784439</v>
      </c>
    </row>
    <row r="29" customFormat="false" ht="13.8" hidden="false" customHeight="false" outlineLevel="0" collapsed="false">
      <c r="A29" s="3" t="n">
        <v>9</v>
      </c>
      <c r="B29" s="3" t="s">
        <v>51</v>
      </c>
      <c r="C29" s="3" t="n">
        <v>90.83677</v>
      </c>
      <c r="D29" s="3" t="n">
        <v>91.80891</v>
      </c>
      <c r="E29" s="3" t="n">
        <v>57.7219</v>
      </c>
      <c r="F29" s="3" t="n">
        <v>0.3602864</v>
      </c>
      <c r="G29" s="3" t="n">
        <v>1.2</v>
      </c>
      <c r="H29" s="3" t="n">
        <v>1</v>
      </c>
      <c r="I29" s="3" t="n">
        <v>-0.2</v>
      </c>
      <c r="J29" s="3" t="n">
        <v>-0.866025403784439</v>
      </c>
    </row>
    <row r="30" customFormat="false" ht="13.8" hidden="false" customHeight="false" outlineLevel="0" collapsed="false">
      <c r="A30" s="8" t="n">
        <v>10</v>
      </c>
      <c r="B30" s="8" t="s">
        <v>48</v>
      </c>
      <c r="C30" s="8" t="n">
        <v>90.99674</v>
      </c>
      <c r="D30" s="8" t="n">
        <v>0</v>
      </c>
      <c r="E30" s="8" t="n">
        <v>0</v>
      </c>
      <c r="F30" s="8" t="n">
        <v>0</v>
      </c>
      <c r="G30" s="22" t="n">
        <v>1.5</v>
      </c>
      <c r="H30" s="22" t="n">
        <v>1</v>
      </c>
      <c r="I30" s="22" t="n">
        <v>-0.5</v>
      </c>
      <c r="J30" s="22" t="n">
        <v>0.14638501094228</v>
      </c>
    </row>
    <row r="31" customFormat="false" ht="13.8" hidden="false" customHeight="false" outlineLevel="0" collapsed="false">
      <c r="A31" s="8" t="n">
        <v>10</v>
      </c>
      <c r="B31" s="8" t="s">
        <v>49</v>
      </c>
      <c r="C31" s="8" t="n">
        <v>91.13672</v>
      </c>
      <c r="D31" s="8" t="n">
        <v>0</v>
      </c>
      <c r="E31" s="8" t="n">
        <v>0</v>
      </c>
      <c r="F31" s="8" t="n">
        <v>0.7122937</v>
      </c>
      <c r="G31" s="22" t="n">
        <v>1.5</v>
      </c>
      <c r="H31" s="22" t="n">
        <v>0.5</v>
      </c>
      <c r="I31" s="22" t="n">
        <v>-1</v>
      </c>
      <c r="J31" s="22" t="n">
        <v>-1.02469507659596</v>
      </c>
    </row>
    <row r="32" customFormat="false" ht="13.8" hidden="false" customHeight="false" outlineLevel="0" collapsed="false">
      <c r="A32" s="8" t="n">
        <v>10</v>
      </c>
      <c r="B32" s="8" t="s">
        <v>50</v>
      </c>
      <c r="C32" s="8" t="n">
        <v>90.49683</v>
      </c>
      <c r="D32" s="8" t="n">
        <v>36.79868</v>
      </c>
      <c r="E32" s="8" t="n">
        <v>74.34288</v>
      </c>
      <c r="F32" s="8" t="n">
        <v>0</v>
      </c>
      <c r="G32" s="22" t="n">
        <v>1.5</v>
      </c>
      <c r="H32" s="22" t="n">
        <v>0.75</v>
      </c>
      <c r="I32" s="22" t="n">
        <v>-0.75</v>
      </c>
      <c r="J32" s="22" t="n">
        <v>-0.43915503282684</v>
      </c>
    </row>
    <row r="33" customFormat="false" ht="13.8" hidden="false" customHeight="false" outlineLevel="0" collapsed="false">
      <c r="A33" s="8" t="n">
        <v>10</v>
      </c>
      <c r="B33" s="8" t="s">
        <v>51</v>
      </c>
      <c r="C33" s="8" t="n">
        <v>91.15672</v>
      </c>
      <c r="D33" s="8" t="n">
        <v>30.00001</v>
      </c>
      <c r="E33" s="8" t="n">
        <v>30.00001</v>
      </c>
      <c r="F33" s="8" t="n">
        <v>0</v>
      </c>
      <c r="G33" s="22" t="n">
        <v>1.5</v>
      </c>
      <c r="H33" s="22" t="n">
        <v>1.5</v>
      </c>
      <c r="I33" s="22" t="n">
        <v>0</v>
      </c>
      <c r="J33" s="22" t="n">
        <v>1.31746509848052</v>
      </c>
    </row>
    <row r="34" customFormat="false" ht="13.8" hidden="false" customHeight="false" outlineLevel="0" collapsed="false">
      <c r="A34" s="3" t="n">
        <v>11</v>
      </c>
      <c r="B34" s="3" t="s">
        <v>48</v>
      </c>
      <c r="C34" s="3" t="n">
        <v>90.89676</v>
      </c>
      <c r="D34" s="3" t="n">
        <v>0</v>
      </c>
      <c r="E34" s="3" t="n">
        <v>0</v>
      </c>
      <c r="F34" s="3" t="n">
        <v>0</v>
      </c>
      <c r="G34" s="3" t="n">
        <v>1</v>
      </c>
      <c r="H34" s="3" t="n">
        <v>0.5</v>
      </c>
      <c r="I34" s="3" t="n">
        <v>-0.5</v>
      </c>
      <c r="J34" s="3"/>
    </row>
    <row r="35" customFormat="false" ht="13.8" hidden="false" customHeight="false" outlineLevel="0" collapsed="false">
      <c r="A35" s="3" t="n">
        <v>11</v>
      </c>
      <c r="B35" s="3" t="s">
        <v>49</v>
      </c>
      <c r="C35" s="3" t="n">
        <v>91.11672</v>
      </c>
      <c r="D35" s="3" t="n">
        <v>0</v>
      </c>
      <c r="E35" s="3" t="n">
        <v>0</v>
      </c>
      <c r="F35" s="3" t="n">
        <v>0.5585198</v>
      </c>
      <c r="G35" s="3" t="n">
        <v>1</v>
      </c>
      <c r="H35" s="3" t="n">
        <v>0.5</v>
      </c>
      <c r="I35" s="3" t="n">
        <v>-0.5</v>
      </c>
      <c r="J35" s="3"/>
    </row>
    <row r="36" customFormat="false" ht="13.8" hidden="false" customHeight="false" outlineLevel="0" collapsed="false">
      <c r="A36" s="3" t="n">
        <v>11</v>
      </c>
      <c r="B36" s="3" t="s">
        <v>50</v>
      </c>
      <c r="C36" s="3" t="n">
        <v>90.6368</v>
      </c>
      <c r="D36" s="3" t="n">
        <v>146.7404</v>
      </c>
      <c r="E36" s="3" t="n">
        <v>146.6639</v>
      </c>
      <c r="F36" s="3" t="n">
        <v>0</v>
      </c>
      <c r="G36" s="3" t="n">
        <v>1</v>
      </c>
      <c r="H36" s="3" t="n">
        <v>0.5</v>
      </c>
      <c r="I36" s="3" t="n">
        <v>-0.5</v>
      </c>
      <c r="J36" s="3"/>
    </row>
    <row r="37" customFormat="false" ht="13.8" hidden="false" customHeight="false" outlineLevel="0" collapsed="false">
      <c r="A37" s="3" t="n">
        <v>11</v>
      </c>
      <c r="B37" s="3" t="s">
        <v>51</v>
      </c>
      <c r="C37" s="3" t="n">
        <v>91.35668</v>
      </c>
      <c r="D37" s="3" t="n">
        <v>66.05475</v>
      </c>
      <c r="E37" s="3" t="n">
        <v>103.1328</v>
      </c>
      <c r="F37" s="3" t="n">
        <v>0</v>
      </c>
      <c r="G37" s="3" t="n">
        <v>1</v>
      </c>
      <c r="H37" s="3" t="n">
        <v>0.5</v>
      </c>
      <c r="I37" s="3" t="n">
        <v>-0.5</v>
      </c>
      <c r="J37" s="3"/>
    </row>
    <row r="38" customFormat="false" ht="13.8" hidden="false" customHeight="false" outlineLevel="0" collapsed="false">
      <c r="A38" s="8" t="n">
        <v>12</v>
      </c>
      <c r="B38" s="8" t="s">
        <v>48</v>
      </c>
      <c r="C38" s="8" t="n">
        <v>118.0361</v>
      </c>
      <c r="D38" s="8" t="n">
        <v>0</v>
      </c>
      <c r="E38" s="8" t="n">
        <v>0</v>
      </c>
      <c r="F38" s="8" t="n">
        <v>0</v>
      </c>
      <c r="G38" s="22" t="n">
        <v>5</v>
      </c>
      <c r="H38" s="22" t="n">
        <v>4</v>
      </c>
      <c r="I38" s="22" t="n">
        <v>-1</v>
      </c>
      <c r="J38" s="22" t="n">
        <v>1.02469507659596</v>
      </c>
    </row>
    <row r="39" customFormat="false" ht="13.8" hidden="false" customHeight="false" outlineLevel="0" collapsed="false">
      <c r="A39" s="8" t="n">
        <v>12</v>
      </c>
      <c r="B39" s="8" t="s">
        <v>49</v>
      </c>
      <c r="C39" s="8" t="n">
        <v>98.12735</v>
      </c>
      <c r="D39" s="8" t="n">
        <v>0</v>
      </c>
      <c r="E39" s="8" t="n">
        <v>0</v>
      </c>
      <c r="F39" s="8" t="n">
        <v>0.6349167</v>
      </c>
      <c r="G39" s="22" t="n">
        <v>5</v>
      </c>
      <c r="H39" s="22" t="n">
        <v>3</v>
      </c>
      <c r="I39" s="22" t="n">
        <v>-2</v>
      </c>
      <c r="J39" s="22" t="n">
        <v>-0.14638501094228</v>
      </c>
    </row>
    <row r="40" customFormat="false" ht="13.8" hidden="false" customHeight="false" outlineLevel="0" collapsed="false">
      <c r="A40" s="8" t="n">
        <v>12</v>
      </c>
      <c r="B40" s="8" t="s">
        <v>50</v>
      </c>
      <c r="C40" s="8" t="n">
        <v>89.57848</v>
      </c>
      <c r="D40" s="8" t="n">
        <v>57.86377</v>
      </c>
      <c r="E40" s="8" t="n">
        <v>57.85461</v>
      </c>
      <c r="F40" s="8" t="n">
        <v>0</v>
      </c>
      <c r="G40" s="22" t="n">
        <v>5</v>
      </c>
      <c r="H40" s="22" t="n">
        <v>2</v>
      </c>
      <c r="I40" s="22" t="n">
        <v>-3</v>
      </c>
      <c r="J40" s="22" t="n">
        <v>-1.31746509848052</v>
      </c>
    </row>
    <row r="41" customFormat="false" ht="13.8" hidden="false" customHeight="false" outlineLevel="0" collapsed="false">
      <c r="A41" s="8" t="n">
        <v>12</v>
      </c>
      <c r="B41" s="8" t="s">
        <v>51</v>
      </c>
      <c r="C41" s="8" t="n">
        <v>90.9852</v>
      </c>
      <c r="D41" s="8" t="n">
        <v>30.00001</v>
      </c>
      <c r="E41" s="8" t="n">
        <v>30.00001</v>
      </c>
      <c r="F41" s="8" t="n">
        <v>0</v>
      </c>
      <c r="G41" s="22" t="n">
        <v>5</v>
      </c>
      <c r="H41" s="22" t="n">
        <v>3.5</v>
      </c>
      <c r="I41" s="22" t="n">
        <v>-1.5</v>
      </c>
      <c r="J41" s="22" t="n">
        <v>0.43915503282684</v>
      </c>
    </row>
    <row r="42" customFormat="false" ht="13.8" hidden="false" customHeight="false" outlineLevel="0" collapsed="false">
      <c r="A42" s="3" t="n">
        <v>13</v>
      </c>
      <c r="B42" s="3" t="s">
        <v>48</v>
      </c>
      <c r="C42" s="3" t="n">
        <v>92.00314</v>
      </c>
      <c r="D42" s="3" t="n">
        <v>0</v>
      </c>
      <c r="E42" s="3" t="n">
        <v>0</v>
      </c>
      <c r="F42" s="3" t="n">
        <v>0</v>
      </c>
      <c r="G42" s="3" t="n">
        <v>4.5</v>
      </c>
      <c r="H42" s="3" t="n">
        <v>3</v>
      </c>
      <c r="I42" s="3" t="n">
        <v>-1.5</v>
      </c>
      <c r="J42" s="3" t="n">
        <v>0.5</v>
      </c>
    </row>
    <row r="43" customFormat="false" ht="13.8" hidden="false" customHeight="false" outlineLevel="0" collapsed="false">
      <c r="A43" s="3" t="n">
        <v>13</v>
      </c>
      <c r="B43" s="3" t="s">
        <v>49</v>
      </c>
      <c r="C43" s="3" t="n">
        <v>91.04169</v>
      </c>
      <c r="D43" s="3" t="n">
        <v>0</v>
      </c>
      <c r="E43" s="3" t="n">
        <v>0</v>
      </c>
      <c r="F43" s="3" t="n">
        <v>0.6140429</v>
      </c>
      <c r="G43" s="3" t="n">
        <v>4.5</v>
      </c>
      <c r="H43" s="3" t="n">
        <v>3</v>
      </c>
      <c r="I43" s="3" t="n">
        <v>-1.5</v>
      </c>
      <c r="J43" s="3" t="n">
        <v>0.5</v>
      </c>
    </row>
    <row r="44" customFormat="false" ht="13.8" hidden="false" customHeight="false" outlineLevel="0" collapsed="false">
      <c r="A44" s="3" t="n">
        <v>13</v>
      </c>
      <c r="B44" s="3" t="s">
        <v>50</v>
      </c>
      <c r="C44" s="3" t="n">
        <v>106.3987</v>
      </c>
      <c r="D44" s="3" t="n">
        <v>64.50734</v>
      </c>
      <c r="E44" s="3" t="n">
        <v>31.59699</v>
      </c>
      <c r="F44" s="3" t="n">
        <v>0</v>
      </c>
      <c r="G44" s="3" t="n">
        <v>4.5</v>
      </c>
      <c r="H44" s="3" t="n">
        <v>2</v>
      </c>
      <c r="I44" s="3" t="n">
        <v>-2.5</v>
      </c>
      <c r="J44" s="3" t="n">
        <v>-1.5</v>
      </c>
    </row>
    <row r="45" customFormat="false" ht="13.8" hidden="false" customHeight="false" outlineLevel="0" collapsed="false">
      <c r="A45" s="3" t="n">
        <v>13</v>
      </c>
      <c r="B45" s="3" t="s">
        <v>51</v>
      </c>
      <c r="C45" s="3" t="n">
        <v>95.39745</v>
      </c>
      <c r="D45" s="3" t="n">
        <v>30</v>
      </c>
      <c r="E45" s="3" t="n">
        <v>30</v>
      </c>
      <c r="F45" s="3" t="n">
        <v>0.9544216</v>
      </c>
      <c r="G45" s="3" t="n">
        <v>4.5</v>
      </c>
      <c r="H45" s="3" t="n">
        <v>3</v>
      </c>
      <c r="I45" s="3" t="n">
        <v>-1.5</v>
      </c>
      <c r="J45" s="3" t="n">
        <v>0.5</v>
      </c>
    </row>
    <row r="46" customFormat="false" ht="13.8" hidden="false" customHeight="false" outlineLevel="0" collapsed="false">
      <c r="A46" s="8" t="n">
        <v>14</v>
      </c>
      <c r="B46" s="8" t="s">
        <v>48</v>
      </c>
      <c r="C46" s="8" t="n">
        <v>91.35067</v>
      </c>
      <c r="D46" s="8" t="n">
        <v>0</v>
      </c>
      <c r="E46" s="8" t="n">
        <v>0</v>
      </c>
      <c r="F46" s="8" t="n">
        <v>0</v>
      </c>
      <c r="G46" s="22" t="n">
        <v>1.3</v>
      </c>
      <c r="H46" s="22" t="n">
        <v>1.3</v>
      </c>
      <c r="I46" s="22" t="n">
        <v>0</v>
      </c>
      <c r="J46" s="22" t="n">
        <v>1.16189500386223</v>
      </c>
    </row>
    <row r="47" customFormat="false" ht="13.8" hidden="false" customHeight="false" outlineLevel="0" collapsed="false">
      <c r="A47" s="8" t="n">
        <v>14</v>
      </c>
      <c r="B47" s="8" t="s">
        <v>49</v>
      </c>
      <c r="C47" s="8" t="n">
        <v>91.47549</v>
      </c>
      <c r="D47" s="8" t="n">
        <v>0</v>
      </c>
      <c r="E47" s="8" t="n">
        <v>0</v>
      </c>
      <c r="F47" s="8" t="n">
        <v>0.2673206</v>
      </c>
      <c r="G47" s="22" t="n">
        <v>1.3</v>
      </c>
      <c r="H47" s="22" t="n">
        <v>1</v>
      </c>
      <c r="I47" s="22" t="n">
        <v>-0.3</v>
      </c>
      <c r="J47" s="22" t="n">
        <v>0.387298334620742</v>
      </c>
    </row>
    <row r="48" customFormat="false" ht="13.8" hidden="false" customHeight="false" outlineLevel="0" collapsed="false">
      <c r="A48" s="8" t="n">
        <v>14</v>
      </c>
      <c r="B48" s="8" t="s">
        <v>50</v>
      </c>
      <c r="C48" s="8" t="n">
        <v>97.74094</v>
      </c>
      <c r="D48" s="8" t="n">
        <v>61.29549</v>
      </c>
      <c r="E48" s="8" t="n">
        <v>104.8665</v>
      </c>
      <c r="F48" s="8" t="n">
        <v>0</v>
      </c>
      <c r="G48" s="22" t="n">
        <v>1.3</v>
      </c>
      <c r="H48" s="22" t="n">
        <v>0.7</v>
      </c>
      <c r="I48" s="22" t="n">
        <v>-0.6</v>
      </c>
      <c r="J48" s="22" t="n">
        <v>-0.387298334620742</v>
      </c>
    </row>
    <row r="49" customFormat="false" ht="13.8" hidden="false" customHeight="false" outlineLevel="0" collapsed="false">
      <c r="A49" s="8" t="n">
        <v>14</v>
      </c>
      <c r="B49" s="8" t="s">
        <v>51</v>
      </c>
      <c r="C49" s="8" t="n">
        <v>91.52846</v>
      </c>
      <c r="D49" s="8" t="n">
        <v>30</v>
      </c>
      <c r="E49" s="8" t="n">
        <v>74.99998</v>
      </c>
      <c r="F49" s="8" t="n">
        <v>1</v>
      </c>
      <c r="G49" s="22" t="n">
        <v>1.3</v>
      </c>
      <c r="H49" s="22" t="n">
        <v>0.4</v>
      </c>
      <c r="I49" s="22" t="n">
        <v>-0.9</v>
      </c>
      <c r="J49" s="22" t="n">
        <v>-1.16189500386222</v>
      </c>
    </row>
    <row r="50" customFormat="false" ht="13.8" hidden="false" customHeight="false" outlineLevel="0" collapsed="false">
      <c r="A50" s="3" t="n">
        <v>15</v>
      </c>
      <c r="B50" s="3" t="s">
        <v>48</v>
      </c>
      <c r="C50" s="3" t="n">
        <v>97.1957</v>
      </c>
      <c r="D50" s="3" t="n">
        <v>0</v>
      </c>
      <c r="E50" s="3" t="n">
        <v>0</v>
      </c>
      <c r="F50" s="3" t="n">
        <v>0</v>
      </c>
      <c r="G50" s="3" t="n">
        <v>1.3</v>
      </c>
      <c r="H50" s="3" t="n">
        <v>0.4</v>
      </c>
      <c r="I50" s="3" t="n">
        <v>-0.9</v>
      </c>
      <c r="J50" s="3" t="n">
        <v>-1.31746509848052</v>
      </c>
    </row>
    <row r="51" customFormat="false" ht="13.8" hidden="false" customHeight="false" outlineLevel="0" collapsed="false">
      <c r="A51" s="3" t="n">
        <v>15</v>
      </c>
      <c r="B51" s="3" t="s">
        <v>49</v>
      </c>
      <c r="C51" s="3" t="n">
        <v>90.43684</v>
      </c>
      <c r="D51" s="3" t="n">
        <v>0</v>
      </c>
      <c r="E51" s="3" t="n">
        <v>0</v>
      </c>
      <c r="F51" s="3" t="n">
        <v>0</v>
      </c>
      <c r="G51" s="3" t="n">
        <v>1.3</v>
      </c>
      <c r="H51" s="3" t="n">
        <v>1.2</v>
      </c>
      <c r="I51" s="3" t="n">
        <v>-0.1</v>
      </c>
      <c r="J51" s="3" t="n">
        <v>1.02469507659596</v>
      </c>
    </row>
    <row r="52" customFormat="false" ht="13.8" hidden="false" customHeight="false" outlineLevel="0" collapsed="false">
      <c r="A52" s="3" t="n">
        <v>15</v>
      </c>
      <c r="B52" s="3" t="s">
        <v>50</v>
      </c>
      <c r="C52" s="3" t="n">
        <v>91.05673</v>
      </c>
      <c r="D52" s="3" t="n">
        <v>50.23333</v>
      </c>
      <c r="E52" s="3" t="n">
        <v>80.06367</v>
      </c>
      <c r="F52" s="3" t="n">
        <v>0</v>
      </c>
      <c r="G52" s="3" t="n">
        <v>1.3</v>
      </c>
      <c r="H52" s="3" t="n">
        <v>1</v>
      </c>
      <c r="I52" s="3" t="n">
        <v>-0.3</v>
      </c>
      <c r="J52" s="3" t="n">
        <v>0.43915503282684</v>
      </c>
    </row>
    <row r="53" customFormat="false" ht="13.8" hidden="false" customHeight="false" outlineLevel="0" collapsed="false">
      <c r="A53" s="3" t="n">
        <v>15</v>
      </c>
      <c r="B53" s="3" t="s">
        <v>51</v>
      </c>
      <c r="C53" s="3" t="n">
        <v>91.2567</v>
      </c>
      <c r="D53" s="3" t="n">
        <v>57.24457</v>
      </c>
      <c r="E53" s="3" t="n">
        <v>110.9664</v>
      </c>
      <c r="F53" s="3" t="n">
        <v>0.8112442</v>
      </c>
      <c r="G53" s="3" t="n">
        <v>1.3</v>
      </c>
      <c r="H53" s="3" t="n">
        <v>0.8</v>
      </c>
      <c r="I53" s="3" t="n">
        <v>-0.5</v>
      </c>
      <c r="J53" s="3" t="n">
        <v>-0.14638501094228</v>
      </c>
    </row>
    <row r="54" customFormat="false" ht="13.8" hidden="false" customHeight="false" outlineLevel="0" collapsed="false">
      <c r="A54" s="8" t="n">
        <v>16</v>
      </c>
      <c r="B54" s="8" t="s">
        <v>48</v>
      </c>
      <c r="C54" s="8" t="n">
        <v>91.65663</v>
      </c>
      <c r="D54" s="8" t="n">
        <v>0</v>
      </c>
      <c r="E54" s="8" t="n">
        <v>0</v>
      </c>
      <c r="F54" s="8" t="n">
        <v>0</v>
      </c>
      <c r="G54" s="22" t="n">
        <v>4</v>
      </c>
      <c r="H54" s="22" t="n">
        <v>1.5</v>
      </c>
      <c r="I54" s="22" t="n">
        <v>-2.5</v>
      </c>
      <c r="J54" s="22" t="n">
        <v>0.172440374678853</v>
      </c>
    </row>
    <row r="55" customFormat="false" ht="13.8" hidden="false" customHeight="false" outlineLevel="0" collapsed="false">
      <c r="A55" s="8" t="n">
        <v>16</v>
      </c>
      <c r="B55" s="8" t="s">
        <v>49</v>
      </c>
      <c r="C55" s="8" t="n">
        <v>91.8366</v>
      </c>
      <c r="D55" s="8" t="n">
        <v>0</v>
      </c>
      <c r="E55" s="8" t="n">
        <v>0</v>
      </c>
      <c r="F55" s="8" t="n">
        <v>0</v>
      </c>
      <c r="G55" s="22" t="n">
        <v>4</v>
      </c>
      <c r="H55" s="22" t="n">
        <v>2</v>
      </c>
      <c r="I55" s="22" t="n">
        <v>-2</v>
      </c>
      <c r="J55" s="22" t="n">
        <v>1.32204287253787</v>
      </c>
    </row>
    <row r="56" customFormat="false" ht="13.8" hidden="false" customHeight="false" outlineLevel="0" collapsed="false">
      <c r="A56" s="8" t="n">
        <v>16</v>
      </c>
      <c r="B56" s="8" t="s">
        <v>50</v>
      </c>
      <c r="C56" s="8" t="n">
        <v>91.65663</v>
      </c>
      <c r="D56" s="8" t="n">
        <v>118.7228</v>
      </c>
      <c r="E56" s="8" t="n">
        <v>119.7429</v>
      </c>
      <c r="F56" s="8" t="n">
        <v>0</v>
      </c>
      <c r="G56" s="22" t="n">
        <v>4</v>
      </c>
      <c r="H56" s="22" t="n">
        <v>1.2</v>
      </c>
      <c r="I56" s="22" t="n">
        <v>-2.8</v>
      </c>
      <c r="J56" s="22" t="n">
        <v>-0.51732112403656</v>
      </c>
    </row>
    <row r="57" customFormat="false" ht="13.8" hidden="false" customHeight="false" outlineLevel="0" collapsed="false">
      <c r="A57" s="8" t="n">
        <v>16</v>
      </c>
      <c r="B57" s="8" t="s">
        <v>51</v>
      </c>
      <c r="C57" s="8" t="n">
        <v>90.89676</v>
      </c>
      <c r="D57" s="8" t="n">
        <v>30.01886</v>
      </c>
      <c r="E57" s="8" t="n">
        <v>30.01886</v>
      </c>
      <c r="F57" s="8" t="n">
        <v>1</v>
      </c>
      <c r="G57" s="22" t="n">
        <v>4</v>
      </c>
      <c r="H57" s="22" t="n">
        <v>1</v>
      </c>
      <c r="I57" s="22" t="n">
        <v>-3</v>
      </c>
      <c r="J57" s="22" t="n">
        <v>-0.977162123180168</v>
      </c>
    </row>
    <row r="58" customFormat="false" ht="13.8" hidden="false" customHeight="false" outlineLevel="0" collapsed="false">
      <c r="A58" s="3" t="n">
        <v>17</v>
      </c>
      <c r="B58" s="3" t="s">
        <v>48</v>
      </c>
      <c r="C58" s="3" t="n">
        <v>91.09673</v>
      </c>
      <c r="D58" s="3" t="n">
        <v>0</v>
      </c>
      <c r="E58" s="3" t="n">
        <v>0</v>
      </c>
      <c r="F58" s="3" t="n">
        <v>0</v>
      </c>
      <c r="G58" s="3" t="n">
        <v>4</v>
      </c>
      <c r="H58" s="3" t="n">
        <v>1</v>
      </c>
      <c r="I58" s="3" t="n">
        <v>-3</v>
      </c>
      <c r="J58" s="3" t="n">
        <v>1.5</v>
      </c>
    </row>
    <row r="59" customFormat="false" ht="13.8" hidden="false" customHeight="false" outlineLevel="0" collapsed="false">
      <c r="A59" s="3" t="n">
        <v>17</v>
      </c>
      <c r="B59" s="3" t="s">
        <v>49</v>
      </c>
      <c r="C59" s="3" t="n">
        <v>90.59681</v>
      </c>
      <c r="D59" s="3" t="n">
        <v>0</v>
      </c>
      <c r="E59" s="3" t="n">
        <v>0</v>
      </c>
      <c r="F59" s="3" t="n">
        <v>0.5695368</v>
      </c>
      <c r="G59" s="3" t="n">
        <v>4</v>
      </c>
      <c r="H59" s="3" t="n">
        <v>0</v>
      </c>
      <c r="I59" s="3" t="n">
        <v>-4</v>
      </c>
      <c r="J59" s="3" t="n">
        <v>-0.5</v>
      </c>
    </row>
    <row r="60" customFormat="false" ht="13.8" hidden="false" customHeight="false" outlineLevel="0" collapsed="false">
      <c r="A60" s="3" t="n">
        <v>17</v>
      </c>
      <c r="B60" s="3" t="s">
        <v>50</v>
      </c>
      <c r="C60" s="3" t="n">
        <v>91.2367</v>
      </c>
      <c r="D60" s="3" t="n">
        <v>31.49047</v>
      </c>
      <c r="E60" s="3" t="n">
        <v>31.49095</v>
      </c>
      <c r="F60" s="3" t="n">
        <v>0</v>
      </c>
      <c r="G60" s="3" t="n">
        <v>4</v>
      </c>
      <c r="H60" s="3" t="n">
        <v>0</v>
      </c>
      <c r="I60" s="3" t="n">
        <v>-4</v>
      </c>
      <c r="J60" s="3" t="n">
        <v>-0.5</v>
      </c>
    </row>
    <row r="61" customFormat="false" ht="13.8" hidden="false" customHeight="false" outlineLevel="0" collapsed="false">
      <c r="A61" s="3" t="n">
        <v>17</v>
      </c>
      <c r="B61" s="3" t="s">
        <v>51</v>
      </c>
      <c r="C61" s="3" t="n">
        <v>90.93675</v>
      </c>
      <c r="D61" s="3" t="n">
        <v>30.00001</v>
      </c>
      <c r="E61" s="3" t="n">
        <v>30.00001</v>
      </c>
      <c r="F61" s="3" t="n">
        <v>0</v>
      </c>
      <c r="G61" s="3" t="n">
        <v>4</v>
      </c>
      <c r="H61" s="3" t="n">
        <v>0</v>
      </c>
      <c r="I61" s="3" t="n">
        <v>-4</v>
      </c>
      <c r="J61" s="3" t="n">
        <v>-0.5</v>
      </c>
    </row>
    <row r="62" customFormat="false" ht="13.8" hidden="false" customHeight="false" outlineLevel="0" collapsed="false">
      <c r="A62" s="8" t="n">
        <v>18</v>
      </c>
      <c r="B62" s="8" t="s">
        <v>48</v>
      </c>
      <c r="C62" s="8" t="n">
        <v>90.43684</v>
      </c>
      <c r="D62" s="8" t="n">
        <v>0</v>
      </c>
      <c r="E62" s="8" t="n">
        <v>0</v>
      </c>
      <c r="F62" s="8" t="n">
        <v>0</v>
      </c>
      <c r="G62" s="22" t="n">
        <v>4</v>
      </c>
      <c r="H62" s="22" t="n">
        <v>3</v>
      </c>
      <c r="I62" s="22" t="n">
        <v>-1</v>
      </c>
      <c r="J62" s="22" t="n">
        <v>0.660338179744218</v>
      </c>
    </row>
    <row r="63" customFormat="false" ht="13.8" hidden="false" customHeight="false" outlineLevel="0" collapsed="false">
      <c r="A63" s="8" t="n">
        <v>18</v>
      </c>
      <c r="B63" s="8" t="s">
        <v>49</v>
      </c>
      <c r="C63" s="8" t="n">
        <v>90.41684</v>
      </c>
      <c r="D63" s="8" t="n">
        <v>0</v>
      </c>
      <c r="E63" s="8" t="n">
        <v>0</v>
      </c>
      <c r="F63" s="8" t="n">
        <v>0</v>
      </c>
      <c r="G63" s="22" t="n">
        <v>4</v>
      </c>
      <c r="H63" s="22" t="n">
        <v>3</v>
      </c>
      <c r="I63" s="22" t="n">
        <v>-1</v>
      </c>
      <c r="J63" s="22" t="n">
        <v>0.660338179744218</v>
      </c>
    </row>
    <row r="64" customFormat="false" ht="13.8" hidden="false" customHeight="false" outlineLevel="0" collapsed="false">
      <c r="A64" s="8" t="n">
        <v>18</v>
      </c>
      <c r="B64" s="8" t="s">
        <v>50</v>
      </c>
      <c r="C64" s="8" t="n">
        <v>91.49666</v>
      </c>
      <c r="D64" s="8" t="n">
        <v>30.00001</v>
      </c>
      <c r="E64" s="8" t="n">
        <v>75.00003</v>
      </c>
      <c r="F64" s="8" t="n">
        <v>0</v>
      </c>
      <c r="G64" s="22" t="n">
        <v>4</v>
      </c>
      <c r="H64" s="22" t="n">
        <v>2.75</v>
      </c>
      <c r="I64" s="22" t="n">
        <v>-1.25</v>
      </c>
      <c r="J64" s="22" t="n">
        <v>0.132067635948844</v>
      </c>
    </row>
    <row r="65" customFormat="false" ht="13.8" hidden="false" customHeight="false" outlineLevel="0" collapsed="false">
      <c r="A65" s="8" t="n">
        <v>18</v>
      </c>
      <c r="B65" s="8" t="s">
        <v>51</v>
      </c>
      <c r="C65" s="8" t="n">
        <v>92.03657</v>
      </c>
      <c r="D65" s="8" t="n">
        <v>30.23978</v>
      </c>
      <c r="E65" s="8" t="n">
        <v>75.59943</v>
      </c>
      <c r="F65" s="8" t="n">
        <v>0</v>
      </c>
      <c r="G65" s="22" t="n">
        <v>4</v>
      </c>
      <c r="H65" s="22" t="n">
        <v>2</v>
      </c>
      <c r="I65" s="22" t="n">
        <v>-2</v>
      </c>
      <c r="J65" s="22" t="n">
        <v>-1.45274399543728</v>
      </c>
    </row>
    <row r="66" customFormat="false" ht="13.8" hidden="false" customHeight="false" outlineLevel="0" collapsed="false">
      <c r="G66" s="8"/>
      <c r="H66" s="8"/>
      <c r="I66" s="8"/>
      <c r="J66" s="8"/>
    </row>
    <row r="67" customFormat="false" ht="13.8" hidden="false" customHeight="false" outlineLevel="0" collapsed="false">
      <c r="G67" s="8"/>
      <c r="H67" s="8"/>
      <c r="I67" s="8"/>
      <c r="J67" s="8"/>
    </row>
    <row r="68" customFormat="false" ht="13.8" hidden="false" customHeight="false" outlineLevel="0" collapsed="false">
      <c r="G68" s="8"/>
      <c r="H68" s="8"/>
      <c r="I68" s="8"/>
      <c r="J68" s="8"/>
    </row>
    <row r="69" customFormat="false" ht="13.8" hidden="false" customHeight="false" outlineLevel="0" collapsed="false">
      <c r="G69" s="8"/>
      <c r="H69" s="8"/>
      <c r="I69" s="8"/>
      <c r="J69" s="8"/>
    </row>
    <row r="70" customFormat="false" ht="13.8" hidden="false" customHeight="false" outlineLevel="0" collapsed="false">
      <c r="G70" s="8"/>
      <c r="H70" s="8"/>
      <c r="I70" s="8"/>
      <c r="J70" s="8"/>
    </row>
    <row r="71" customFormat="false" ht="13.8" hidden="false" customHeight="false" outlineLevel="0" collapsed="false">
      <c r="G71" s="8"/>
      <c r="H71" s="8"/>
      <c r="I71" s="8"/>
      <c r="J71" s="8"/>
    </row>
    <row r="72" customFormat="false" ht="13.8" hidden="false" customHeight="false" outlineLevel="0" collapsed="false">
      <c r="G72" s="8"/>
      <c r="H72" s="8"/>
      <c r="I72" s="8"/>
      <c r="J72" s="8"/>
    </row>
    <row r="73" customFormat="false" ht="13.8" hidden="false" customHeight="false" outlineLevel="0" collapsed="false">
      <c r="G73" s="8"/>
      <c r="H73" s="8"/>
      <c r="I73" s="8"/>
      <c r="J73" s="8"/>
    </row>
    <row r="74" customFormat="false" ht="13.8" hidden="false" customHeight="false" outlineLevel="0" collapsed="false">
      <c r="G74" s="22"/>
      <c r="H74" s="22"/>
      <c r="I74" s="22"/>
      <c r="J74" s="22"/>
    </row>
    <row r="75" customFormat="false" ht="13.8" hidden="false" customHeight="false" outlineLevel="0" collapsed="false">
      <c r="G75" s="22"/>
      <c r="H75" s="22"/>
      <c r="I75" s="22"/>
      <c r="J75" s="22"/>
    </row>
    <row r="76" customFormat="false" ht="13.8" hidden="false" customHeight="false" outlineLevel="0" collapsed="false">
      <c r="G76" s="22"/>
      <c r="H76" s="22"/>
      <c r="I76" s="22"/>
      <c r="J76" s="22"/>
    </row>
    <row r="77" customFormat="false" ht="13.8" hidden="false" customHeight="false" outlineLevel="0" collapsed="false">
      <c r="G77" s="22"/>
      <c r="H77" s="22"/>
      <c r="I77" s="22"/>
      <c r="J77" s="22"/>
    </row>
    <row r="78" customFormat="false" ht="13.8" hidden="false" customHeight="false" outlineLevel="0" collapsed="false">
      <c r="G78" s="22"/>
      <c r="H78" s="22"/>
      <c r="I78" s="22"/>
      <c r="J78" s="22"/>
    </row>
    <row r="79" customFormat="false" ht="13.8" hidden="false" customHeight="false" outlineLevel="0" collapsed="false">
      <c r="G79" s="22"/>
      <c r="H79" s="22"/>
      <c r="I79" s="22"/>
      <c r="J79" s="22"/>
    </row>
    <row r="80" customFormat="false" ht="13.8" hidden="false" customHeight="false" outlineLevel="0" collapsed="false">
      <c r="G80" s="22"/>
      <c r="H80" s="22"/>
      <c r="I80" s="22"/>
      <c r="J80" s="22"/>
    </row>
    <row r="81" customFormat="false" ht="13.8" hidden="false" customHeight="false" outlineLevel="0" collapsed="false">
      <c r="G81" s="22"/>
      <c r="H81" s="22"/>
      <c r="I81" s="22"/>
      <c r="J81" s="22"/>
    </row>
    <row r="82" customFormat="false" ht="13.8" hidden="false" customHeight="false" outlineLevel="0" collapsed="false">
      <c r="G82" s="22"/>
      <c r="H82" s="22"/>
      <c r="I82" s="22"/>
      <c r="J82" s="22"/>
    </row>
    <row r="83" customFormat="false" ht="13.8" hidden="false" customHeight="false" outlineLevel="0" collapsed="false">
      <c r="G83" s="22"/>
      <c r="H83" s="22"/>
      <c r="I83" s="22"/>
      <c r="J83" s="22"/>
    </row>
    <row r="84" customFormat="false" ht="13.8" hidden="false" customHeight="false" outlineLevel="0" collapsed="false">
      <c r="G84" s="22"/>
      <c r="H84" s="22"/>
      <c r="I84" s="22"/>
      <c r="J84" s="22"/>
    </row>
    <row r="85" customFormat="false" ht="13.8" hidden="false" customHeight="false" outlineLevel="0" collapsed="false">
      <c r="G85" s="22"/>
      <c r="H85" s="22"/>
      <c r="I85" s="22"/>
      <c r="J85" s="22"/>
    </row>
    <row r="86" customFormat="false" ht="13.8" hidden="false" customHeight="false" outlineLevel="0" collapsed="false">
      <c r="G86" s="22"/>
      <c r="H86" s="22"/>
      <c r="I86" s="22"/>
      <c r="J86" s="22"/>
    </row>
    <row r="87" customFormat="false" ht="13.8" hidden="false" customHeight="false" outlineLevel="0" collapsed="false">
      <c r="G87" s="22"/>
      <c r="H87" s="22"/>
      <c r="I87" s="22"/>
      <c r="J87" s="22"/>
    </row>
    <row r="88" customFormat="false" ht="13.8" hidden="false" customHeight="false" outlineLevel="0" collapsed="false">
      <c r="G88" s="22"/>
      <c r="H88" s="22"/>
      <c r="I88" s="22"/>
      <c r="J88" s="22"/>
    </row>
    <row r="89" customFormat="false" ht="13.8" hidden="false" customHeight="false" outlineLevel="0" collapsed="false">
      <c r="G89" s="22"/>
      <c r="H89" s="22"/>
      <c r="I89" s="22"/>
      <c r="J89" s="22"/>
    </row>
    <row r="90" customFormat="false" ht="13.8" hidden="false" customHeight="false" outlineLevel="0" collapsed="false">
      <c r="G90" s="22"/>
      <c r="H90" s="22"/>
      <c r="I90" s="22"/>
      <c r="J90" s="22"/>
    </row>
    <row r="91" customFormat="false" ht="13.8" hidden="false" customHeight="false" outlineLevel="0" collapsed="false">
      <c r="G91" s="22"/>
      <c r="H91" s="22"/>
      <c r="I91" s="22"/>
      <c r="J91" s="22"/>
    </row>
    <row r="92" customFormat="false" ht="13.8" hidden="false" customHeight="false" outlineLevel="0" collapsed="false">
      <c r="G92" s="22"/>
      <c r="H92" s="22"/>
      <c r="I92" s="22"/>
      <c r="J92" s="22"/>
    </row>
    <row r="93" customFormat="false" ht="13.8" hidden="false" customHeight="false" outlineLevel="0" collapsed="false">
      <c r="G93" s="22"/>
      <c r="H93" s="22"/>
      <c r="I93" s="22"/>
      <c r="J93" s="22"/>
    </row>
    <row r="94" customFormat="false" ht="13.8" hidden="false" customHeight="false" outlineLevel="0" collapsed="false">
      <c r="G94" s="22"/>
      <c r="H94" s="22"/>
      <c r="I94" s="22"/>
      <c r="J94" s="22"/>
    </row>
    <row r="95" customFormat="false" ht="13.8" hidden="false" customHeight="false" outlineLevel="0" collapsed="false">
      <c r="G95" s="22"/>
      <c r="H95" s="22"/>
      <c r="I95" s="22"/>
      <c r="J95" s="22"/>
    </row>
    <row r="96" customFormat="false" ht="13.8" hidden="false" customHeight="false" outlineLevel="0" collapsed="false">
      <c r="G96" s="22"/>
      <c r="H96" s="22"/>
      <c r="I96" s="22"/>
      <c r="J96" s="22"/>
    </row>
    <row r="97" customFormat="false" ht="13.8" hidden="false" customHeight="false" outlineLevel="0" collapsed="false">
      <c r="G97" s="22"/>
      <c r="H97" s="22"/>
      <c r="I97" s="22"/>
      <c r="J97" s="22"/>
    </row>
    <row r="98" customFormat="false" ht="13.8" hidden="false" customHeight="false" outlineLevel="0" collapsed="false">
      <c r="G98" s="22"/>
      <c r="H98" s="22"/>
      <c r="I98" s="22"/>
      <c r="J98" s="22"/>
    </row>
    <row r="99" customFormat="false" ht="13.8" hidden="false" customHeight="false" outlineLevel="0" collapsed="false">
      <c r="G99" s="22"/>
      <c r="H99" s="22"/>
      <c r="I99" s="22"/>
      <c r="J99" s="22"/>
    </row>
    <row r="100" customFormat="false" ht="13.8" hidden="false" customHeight="false" outlineLevel="0" collapsed="false">
      <c r="G100" s="22"/>
      <c r="H100" s="22"/>
      <c r="I100" s="22"/>
      <c r="J100" s="22"/>
    </row>
    <row r="101" customFormat="false" ht="13.8" hidden="false" customHeight="false" outlineLevel="0" collapsed="false">
      <c r="G101" s="22"/>
      <c r="H101" s="22"/>
      <c r="I101" s="22"/>
      <c r="J101" s="22"/>
    </row>
    <row r="102" customFormat="false" ht="13.8" hidden="false" customHeight="false" outlineLevel="0" collapsed="false">
      <c r="G102" s="22"/>
      <c r="H102" s="22"/>
      <c r="I102" s="22"/>
      <c r="J102" s="22"/>
    </row>
    <row r="103" customFormat="false" ht="13.8" hidden="false" customHeight="false" outlineLevel="0" collapsed="false">
      <c r="G103" s="22"/>
      <c r="H103" s="22"/>
      <c r="I103" s="22"/>
      <c r="J103" s="22"/>
    </row>
    <row r="104" customFormat="false" ht="13.8" hidden="false" customHeight="false" outlineLevel="0" collapsed="false">
      <c r="G104" s="22"/>
      <c r="H104" s="22"/>
      <c r="I104" s="22"/>
      <c r="J104" s="22"/>
    </row>
    <row r="105" customFormat="false" ht="13.8" hidden="false" customHeight="false" outlineLevel="0" collapsed="false">
      <c r="G105" s="22"/>
      <c r="H105" s="22"/>
      <c r="I105" s="22"/>
      <c r="J105" s="22"/>
    </row>
    <row r="106" customFormat="false" ht="13.8" hidden="false" customHeight="false" outlineLevel="0" collapsed="false">
      <c r="G106" s="22"/>
      <c r="H106" s="22"/>
      <c r="I106" s="22"/>
      <c r="J106" s="22"/>
    </row>
    <row r="107" customFormat="false" ht="13.8" hidden="false" customHeight="false" outlineLevel="0" collapsed="false">
      <c r="G107" s="22"/>
      <c r="H107" s="22"/>
      <c r="I107" s="22"/>
      <c r="J107" s="22"/>
    </row>
    <row r="108" customFormat="false" ht="13.8" hidden="false" customHeight="false" outlineLevel="0" collapsed="false">
      <c r="G108" s="22"/>
      <c r="H108" s="22"/>
      <c r="I108" s="22"/>
      <c r="J108" s="22"/>
    </row>
    <row r="109" customFormat="false" ht="13.8" hidden="false" customHeight="false" outlineLevel="0" collapsed="false">
      <c r="G109" s="22"/>
      <c r="H109" s="22"/>
      <c r="I109" s="22"/>
      <c r="J109" s="22"/>
    </row>
    <row r="110" customFormat="false" ht="13.8" hidden="false" customHeight="false" outlineLevel="0" collapsed="false">
      <c r="G110" s="22"/>
      <c r="H110" s="22"/>
      <c r="I110" s="22"/>
      <c r="J110" s="22"/>
    </row>
    <row r="111" customFormat="false" ht="13.8" hidden="false" customHeight="false" outlineLevel="0" collapsed="false">
      <c r="G111" s="22"/>
      <c r="H111" s="22"/>
      <c r="I111" s="22"/>
      <c r="J111" s="22"/>
    </row>
    <row r="112" customFormat="false" ht="13.8" hidden="false" customHeight="false" outlineLevel="0" collapsed="false">
      <c r="G112" s="22"/>
      <c r="H112" s="22"/>
      <c r="I112" s="22"/>
      <c r="J112" s="22"/>
    </row>
    <row r="113" customFormat="false" ht="13.8" hidden="false" customHeight="false" outlineLevel="0" collapsed="false">
      <c r="G113" s="22"/>
      <c r="H113" s="22"/>
      <c r="I113" s="22"/>
      <c r="J113" s="22"/>
    </row>
    <row r="114" customFormat="false" ht="13.8" hidden="false" customHeight="false" outlineLevel="0" collapsed="false">
      <c r="G114" s="22"/>
      <c r="H114" s="22"/>
      <c r="I114" s="22"/>
      <c r="J114" s="22"/>
    </row>
    <row r="115" customFormat="false" ht="13.8" hidden="false" customHeight="false" outlineLevel="0" collapsed="false">
      <c r="G115" s="22"/>
      <c r="H115" s="22"/>
      <c r="I115" s="22"/>
      <c r="J115" s="22"/>
    </row>
    <row r="116" customFormat="false" ht="13.8" hidden="false" customHeight="false" outlineLevel="0" collapsed="false">
      <c r="G116" s="22"/>
      <c r="H116" s="22"/>
      <c r="I116" s="22"/>
      <c r="J116" s="22"/>
    </row>
    <row r="117" customFormat="false" ht="13.8" hidden="false" customHeight="false" outlineLevel="0" collapsed="false">
      <c r="G117" s="22"/>
      <c r="H117" s="22"/>
      <c r="I117" s="22"/>
      <c r="J117" s="22"/>
    </row>
    <row r="118" customFormat="false" ht="13.8" hidden="false" customHeight="false" outlineLevel="0" collapsed="false">
      <c r="G118" s="22"/>
      <c r="H118" s="22"/>
      <c r="I118" s="22"/>
      <c r="J118" s="22"/>
    </row>
    <row r="119" customFormat="false" ht="13.8" hidden="false" customHeight="false" outlineLevel="0" collapsed="false">
      <c r="G119" s="22"/>
      <c r="H119" s="22"/>
      <c r="I119" s="22"/>
      <c r="J119" s="22"/>
    </row>
    <row r="120" customFormat="false" ht="13.8" hidden="false" customHeight="false" outlineLevel="0" collapsed="false">
      <c r="G120" s="22"/>
      <c r="H120" s="22"/>
      <c r="I120" s="22"/>
      <c r="J120" s="22"/>
    </row>
    <row r="121" customFormat="false" ht="13.8" hidden="false" customHeight="false" outlineLevel="0" collapsed="false">
      <c r="G121" s="22"/>
      <c r="H121" s="22"/>
      <c r="I121" s="22"/>
      <c r="J121" s="22"/>
    </row>
    <row r="122" customFormat="false" ht="13.8" hidden="false" customHeight="false" outlineLevel="0" collapsed="false">
      <c r="G122" s="22"/>
      <c r="H122" s="22"/>
      <c r="I122" s="22"/>
      <c r="J122" s="22"/>
    </row>
    <row r="123" customFormat="false" ht="13.8" hidden="false" customHeight="false" outlineLevel="0" collapsed="false">
      <c r="G123" s="22"/>
      <c r="H123" s="22"/>
      <c r="I123" s="22"/>
      <c r="J123" s="22"/>
    </row>
    <row r="124" customFormat="false" ht="13.8" hidden="false" customHeight="false" outlineLevel="0" collapsed="false">
      <c r="G124" s="22"/>
      <c r="H124" s="22"/>
      <c r="I124" s="22"/>
      <c r="J124" s="22"/>
    </row>
    <row r="125" customFormat="false" ht="13.8" hidden="false" customHeight="false" outlineLevel="0" collapsed="false">
      <c r="G125" s="22"/>
      <c r="H125" s="22"/>
      <c r="I125" s="22"/>
      <c r="J125" s="22"/>
    </row>
    <row r="126" customFormat="false" ht="13.8" hidden="false" customHeight="false" outlineLevel="0" collapsed="false">
      <c r="G126" s="22"/>
      <c r="H126" s="22"/>
      <c r="I126" s="22"/>
      <c r="J126" s="22"/>
    </row>
    <row r="127" customFormat="false" ht="13.8" hidden="false" customHeight="false" outlineLevel="0" collapsed="false">
      <c r="G127" s="22"/>
      <c r="H127" s="22"/>
      <c r="I127" s="22"/>
      <c r="J127" s="22"/>
    </row>
    <row r="128" customFormat="false" ht="13.8" hidden="false" customHeight="false" outlineLevel="0" collapsed="false">
      <c r="G128" s="22"/>
      <c r="H128" s="22"/>
      <c r="I128" s="22"/>
      <c r="J128" s="22"/>
    </row>
    <row r="129" customFormat="false" ht="13.8" hidden="false" customHeight="false" outlineLevel="0" collapsed="false">
      <c r="G129" s="22"/>
      <c r="H129" s="22"/>
      <c r="I129" s="22"/>
      <c r="J129" s="22"/>
    </row>
    <row r="130" customFormat="false" ht="13.8" hidden="false" customHeight="false" outlineLevel="0" collapsed="false">
      <c r="G130" s="22"/>
      <c r="H130" s="22"/>
      <c r="I130" s="22"/>
      <c r="J130" s="22"/>
    </row>
    <row r="131" customFormat="false" ht="13.8" hidden="false" customHeight="false" outlineLevel="0" collapsed="false">
      <c r="G131" s="22"/>
      <c r="H131" s="22"/>
      <c r="I131" s="22"/>
      <c r="J131" s="22"/>
    </row>
    <row r="132" customFormat="false" ht="13.8" hidden="false" customHeight="false" outlineLevel="0" collapsed="false">
      <c r="G132" s="22"/>
      <c r="H132" s="22"/>
      <c r="I132" s="22"/>
      <c r="J132" s="22"/>
    </row>
    <row r="133" customFormat="false" ht="13.8" hidden="false" customHeight="false" outlineLevel="0" collapsed="false">
      <c r="G133" s="22"/>
      <c r="H133" s="22"/>
      <c r="I133" s="22"/>
      <c r="J133" s="22"/>
    </row>
    <row r="134" customFormat="false" ht="13.8" hidden="false" customHeight="false" outlineLevel="0" collapsed="false">
      <c r="G134" s="22"/>
      <c r="H134" s="22"/>
      <c r="I134" s="22"/>
      <c r="J134" s="22"/>
    </row>
    <row r="135" customFormat="false" ht="13.8" hidden="false" customHeight="false" outlineLevel="0" collapsed="false">
      <c r="G135" s="22"/>
      <c r="H135" s="22"/>
      <c r="I135" s="22"/>
      <c r="J135" s="22"/>
    </row>
    <row r="136" customFormat="false" ht="13.8" hidden="false" customHeight="false" outlineLevel="0" collapsed="false">
      <c r="G136" s="22"/>
      <c r="H136" s="22"/>
      <c r="I136" s="22"/>
      <c r="J136" s="22"/>
    </row>
    <row r="137" customFormat="false" ht="13.8" hidden="false" customHeight="false" outlineLevel="0" collapsed="false">
      <c r="G137" s="22"/>
      <c r="H137" s="22"/>
      <c r="I137" s="22"/>
      <c r="J137" s="22"/>
    </row>
    <row r="138" customFormat="false" ht="13.8" hidden="false" customHeight="false" outlineLevel="0" collapsed="false">
      <c r="G138" s="22"/>
      <c r="H138" s="22"/>
      <c r="I138" s="22"/>
      <c r="J138" s="22"/>
    </row>
    <row r="139" customFormat="false" ht="13.8" hidden="false" customHeight="false" outlineLevel="0" collapsed="false">
      <c r="G139" s="22"/>
      <c r="H139" s="22"/>
      <c r="I139" s="22"/>
      <c r="J139" s="22"/>
    </row>
    <row r="140" customFormat="false" ht="13.8" hidden="false" customHeight="false" outlineLevel="0" collapsed="false">
      <c r="G140" s="22"/>
      <c r="H140" s="22"/>
      <c r="I140" s="22"/>
      <c r="J140" s="22"/>
    </row>
    <row r="141" customFormat="false" ht="13.8" hidden="false" customHeight="false" outlineLevel="0" collapsed="false">
      <c r="G141" s="22"/>
      <c r="H141" s="22"/>
      <c r="I141" s="22"/>
      <c r="J141" s="22"/>
    </row>
    <row r="142" customFormat="false" ht="13.8" hidden="false" customHeight="false" outlineLevel="0" collapsed="false">
      <c r="G142" s="22"/>
      <c r="H142" s="22"/>
      <c r="I142" s="22"/>
      <c r="J142" s="22"/>
    </row>
    <row r="143" customFormat="false" ht="13.8" hidden="false" customHeight="false" outlineLevel="0" collapsed="false">
      <c r="G143" s="22"/>
      <c r="H143" s="22"/>
      <c r="I143" s="22"/>
      <c r="J143" s="22"/>
    </row>
    <row r="144" customFormat="false" ht="13.8" hidden="false" customHeight="false" outlineLevel="0" collapsed="false">
      <c r="G144" s="22"/>
      <c r="H144" s="22"/>
      <c r="I144" s="22"/>
      <c r="J144" s="22"/>
    </row>
    <row r="145" customFormat="false" ht="13.8" hidden="false" customHeight="false" outlineLevel="0" collapsed="false">
      <c r="G145" s="22"/>
      <c r="H145" s="22"/>
      <c r="I145" s="22"/>
      <c r="J145" s="22"/>
    </row>
    <row r="146" customFormat="false" ht="13.8" hidden="false" customHeight="false" outlineLevel="0" collapsed="false">
      <c r="G146" s="22"/>
      <c r="H146" s="22"/>
      <c r="I146" s="22"/>
      <c r="J146" s="22"/>
    </row>
    <row r="147" customFormat="false" ht="13.8" hidden="false" customHeight="false" outlineLevel="0" collapsed="false">
      <c r="G147" s="22"/>
      <c r="H147" s="22"/>
      <c r="I147" s="22"/>
      <c r="J147" s="22"/>
    </row>
    <row r="148" customFormat="false" ht="13.8" hidden="false" customHeight="false" outlineLevel="0" collapsed="false">
      <c r="G148" s="22"/>
      <c r="H148" s="22"/>
      <c r="I148" s="22"/>
      <c r="J148" s="22"/>
    </row>
    <row r="149" customFormat="false" ht="13.8" hidden="false" customHeight="false" outlineLevel="0" collapsed="false">
      <c r="G149" s="22"/>
      <c r="H149" s="22"/>
      <c r="I149" s="22"/>
      <c r="J149" s="22"/>
    </row>
    <row r="150" customFormat="false" ht="13.8" hidden="false" customHeight="false" outlineLevel="0" collapsed="false">
      <c r="G150" s="22"/>
      <c r="H150" s="22"/>
      <c r="I150" s="22"/>
      <c r="J150" s="22"/>
    </row>
    <row r="151" customFormat="false" ht="13.8" hidden="false" customHeight="false" outlineLevel="0" collapsed="false">
      <c r="G151" s="22"/>
      <c r="H151" s="22"/>
      <c r="I151" s="22"/>
      <c r="J151" s="22"/>
    </row>
    <row r="152" customFormat="false" ht="13.8" hidden="false" customHeight="false" outlineLevel="0" collapsed="false">
      <c r="G152" s="22"/>
      <c r="H152" s="22"/>
      <c r="I152" s="22"/>
      <c r="J152" s="22"/>
    </row>
    <row r="153" customFormat="false" ht="13.8" hidden="false" customHeight="false" outlineLevel="0" collapsed="false">
      <c r="G153" s="22"/>
      <c r="H153" s="22"/>
      <c r="I153" s="22"/>
      <c r="J153" s="22"/>
    </row>
    <row r="154" customFormat="false" ht="13.8" hidden="false" customHeight="false" outlineLevel="0" collapsed="false">
      <c r="G154" s="22"/>
      <c r="H154" s="22"/>
      <c r="I154" s="22"/>
      <c r="J154" s="22"/>
    </row>
    <row r="155" customFormat="false" ht="13.8" hidden="false" customHeight="false" outlineLevel="0" collapsed="false">
      <c r="G155" s="22"/>
      <c r="H155" s="22"/>
      <c r="I155" s="22"/>
      <c r="J155" s="22"/>
    </row>
    <row r="156" customFormat="false" ht="13.8" hidden="false" customHeight="false" outlineLevel="0" collapsed="false">
      <c r="G156" s="22"/>
      <c r="H156" s="22"/>
      <c r="I156" s="22"/>
      <c r="J156" s="22"/>
    </row>
    <row r="157" customFormat="false" ht="13.8" hidden="false" customHeight="false" outlineLevel="0" collapsed="false">
      <c r="G157" s="22"/>
      <c r="H157" s="22"/>
      <c r="I157" s="22"/>
      <c r="J157" s="22"/>
    </row>
    <row r="158" customFormat="false" ht="13.8" hidden="false" customHeight="false" outlineLevel="0" collapsed="false">
      <c r="G158" s="22"/>
      <c r="H158" s="22"/>
      <c r="I158" s="22"/>
      <c r="J158" s="22"/>
    </row>
    <row r="159" customFormat="false" ht="13.8" hidden="false" customHeight="false" outlineLevel="0" collapsed="false">
      <c r="G159" s="22"/>
      <c r="H159" s="22"/>
      <c r="I159" s="22"/>
      <c r="J159" s="22"/>
    </row>
    <row r="160" customFormat="false" ht="13.8" hidden="false" customHeight="false" outlineLevel="0" collapsed="false">
      <c r="G160" s="22"/>
      <c r="H160" s="22"/>
      <c r="I160" s="22"/>
      <c r="J160" s="22"/>
    </row>
    <row r="161" customFormat="false" ht="13.8" hidden="false" customHeight="false" outlineLevel="0" collapsed="false">
      <c r="G161" s="22"/>
      <c r="H161" s="22"/>
      <c r="I161" s="22"/>
      <c r="J161" s="22"/>
    </row>
    <row r="162" customFormat="false" ht="13.8" hidden="false" customHeight="false" outlineLevel="0" collapsed="false">
      <c r="G162" s="22"/>
      <c r="H162" s="22"/>
      <c r="I162" s="22"/>
      <c r="J162" s="22"/>
    </row>
    <row r="163" customFormat="false" ht="13.8" hidden="false" customHeight="false" outlineLevel="0" collapsed="false">
      <c r="G163" s="22"/>
      <c r="H163" s="22"/>
      <c r="I163" s="22"/>
      <c r="J163" s="22"/>
    </row>
    <row r="164" customFormat="false" ht="13.8" hidden="false" customHeight="false" outlineLevel="0" collapsed="false">
      <c r="G164" s="22"/>
      <c r="H164" s="22"/>
      <c r="I164" s="22"/>
      <c r="J164" s="22"/>
    </row>
    <row r="165" customFormat="false" ht="13.8" hidden="false" customHeight="false" outlineLevel="0" collapsed="false">
      <c r="G165" s="22"/>
      <c r="H165" s="22"/>
      <c r="I165" s="22"/>
      <c r="J165" s="22"/>
    </row>
    <row r="166" customFormat="false" ht="13.8" hidden="false" customHeight="false" outlineLevel="0" collapsed="false">
      <c r="G166" s="22"/>
      <c r="H166" s="22"/>
      <c r="I166" s="22"/>
      <c r="J166" s="22"/>
    </row>
    <row r="167" customFormat="false" ht="13.8" hidden="false" customHeight="false" outlineLevel="0" collapsed="false">
      <c r="G167" s="22"/>
      <c r="H167" s="22"/>
      <c r="I167" s="22"/>
      <c r="J167" s="22"/>
    </row>
    <row r="168" customFormat="false" ht="13.8" hidden="false" customHeight="false" outlineLevel="0" collapsed="false">
      <c r="G168" s="22"/>
      <c r="H168" s="22"/>
      <c r="I168" s="22"/>
      <c r="J168" s="22"/>
    </row>
    <row r="169" customFormat="false" ht="13.8" hidden="false" customHeight="false" outlineLevel="0" collapsed="false">
      <c r="G169" s="22"/>
      <c r="H169" s="22"/>
      <c r="I169" s="22"/>
      <c r="J169" s="22"/>
    </row>
    <row r="170" customFormat="false" ht="13.8" hidden="false" customHeight="false" outlineLevel="0" collapsed="false">
      <c r="G170" s="22"/>
      <c r="H170" s="22"/>
      <c r="I170" s="22"/>
      <c r="J170" s="22"/>
    </row>
    <row r="171" customFormat="false" ht="13.8" hidden="false" customHeight="false" outlineLevel="0" collapsed="false">
      <c r="G171" s="22"/>
      <c r="H171" s="22"/>
      <c r="I171" s="22"/>
      <c r="J171" s="22"/>
    </row>
    <row r="172" customFormat="false" ht="13.8" hidden="false" customHeight="false" outlineLevel="0" collapsed="false">
      <c r="G172" s="22"/>
      <c r="H172" s="22"/>
      <c r="I172" s="22"/>
      <c r="J172" s="22"/>
    </row>
    <row r="173" customFormat="false" ht="13.8" hidden="false" customHeight="false" outlineLevel="0" collapsed="false">
      <c r="G173" s="22"/>
      <c r="H173" s="22"/>
      <c r="I173" s="22"/>
      <c r="J173" s="22"/>
    </row>
    <row r="174" customFormat="false" ht="13.8" hidden="false" customHeight="false" outlineLevel="0" collapsed="false">
      <c r="G174" s="22"/>
      <c r="H174" s="22"/>
      <c r="I174" s="22"/>
      <c r="J174" s="22"/>
    </row>
    <row r="175" customFormat="false" ht="13.8" hidden="false" customHeight="false" outlineLevel="0" collapsed="false">
      <c r="G175" s="22"/>
      <c r="H175" s="22"/>
      <c r="I175" s="22"/>
      <c r="J175" s="22"/>
    </row>
    <row r="176" customFormat="false" ht="13.8" hidden="false" customHeight="false" outlineLevel="0" collapsed="false">
      <c r="G176" s="22"/>
      <c r="H176" s="22"/>
      <c r="I176" s="22"/>
      <c r="J176" s="22"/>
    </row>
    <row r="177" customFormat="false" ht="13.8" hidden="false" customHeight="false" outlineLevel="0" collapsed="false">
      <c r="G177" s="22"/>
      <c r="H177" s="22"/>
      <c r="I177" s="22"/>
      <c r="J177" s="22"/>
    </row>
    <row r="178" customFormat="false" ht="13.8" hidden="false" customHeight="false" outlineLevel="0" collapsed="false">
      <c r="G178" s="22"/>
      <c r="H178" s="22"/>
      <c r="I178" s="22"/>
      <c r="J178" s="22"/>
    </row>
    <row r="179" customFormat="false" ht="13.8" hidden="false" customHeight="false" outlineLevel="0" collapsed="false">
      <c r="G179" s="22"/>
      <c r="H179" s="22"/>
      <c r="I179" s="22"/>
      <c r="J179" s="22"/>
    </row>
    <row r="180" customFormat="false" ht="13.8" hidden="false" customHeight="false" outlineLevel="0" collapsed="false">
      <c r="G180" s="22"/>
      <c r="H180" s="22"/>
      <c r="I180" s="22"/>
      <c r="J180" s="22"/>
    </row>
    <row r="181" customFormat="false" ht="13.8" hidden="false" customHeight="false" outlineLevel="0" collapsed="false">
      <c r="G181" s="22"/>
      <c r="H181" s="22"/>
      <c r="I181" s="22"/>
      <c r="J181" s="22"/>
    </row>
    <row r="182" customFormat="false" ht="13.8" hidden="false" customHeight="false" outlineLevel="0" collapsed="false">
      <c r="G182" s="22"/>
      <c r="H182" s="22"/>
      <c r="I182" s="22"/>
      <c r="J182" s="22"/>
    </row>
    <row r="183" customFormat="false" ht="13.8" hidden="false" customHeight="false" outlineLevel="0" collapsed="false">
      <c r="G183" s="22"/>
      <c r="H183" s="22"/>
      <c r="I183" s="22"/>
      <c r="J183" s="22"/>
    </row>
    <row r="184" customFormat="false" ht="13.8" hidden="false" customHeight="false" outlineLevel="0" collapsed="false">
      <c r="G184" s="22"/>
      <c r="H184" s="22"/>
      <c r="I184" s="22"/>
      <c r="J184" s="22"/>
    </row>
    <row r="185" customFormat="false" ht="13.8" hidden="false" customHeight="false" outlineLevel="0" collapsed="false">
      <c r="G185" s="22"/>
      <c r="H185" s="22"/>
      <c r="I185" s="22"/>
      <c r="J185" s="22"/>
    </row>
    <row r="186" customFormat="false" ht="13.8" hidden="false" customHeight="false" outlineLevel="0" collapsed="false">
      <c r="G186" s="22"/>
      <c r="H186" s="22"/>
      <c r="I186" s="22"/>
      <c r="J186" s="22"/>
    </row>
    <row r="187" customFormat="false" ht="13.8" hidden="false" customHeight="false" outlineLevel="0" collapsed="false">
      <c r="G187" s="22"/>
      <c r="H187" s="22"/>
      <c r="I187" s="22"/>
      <c r="J187" s="22"/>
    </row>
    <row r="188" customFormat="false" ht="13.8" hidden="false" customHeight="false" outlineLevel="0" collapsed="false">
      <c r="G188" s="22"/>
      <c r="H188" s="22"/>
      <c r="I188" s="22"/>
      <c r="J188" s="22"/>
    </row>
    <row r="189" customFormat="false" ht="13.8" hidden="false" customHeight="false" outlineLevel="0" collapsed="false">
      <c r="G189" s="22"/>
      <c r="H189" s="22"/>
      <c r="I189" s="22"/>
      <c r="J189" s="22"/>
    </row>
    <row r="190" customFormat="false" ht="13.8" hidden="false" customHeight="false" outlineLevel="0" collapsed="false">
      <c r="G190" s="22"/>
      <c r="H190" s="22"/>
      <c r="I190" s="22"/>
      <c r="J190" s="22"/>
    </row>
    <row r="191" customFormat="false" ht="13.8" hidden="false" customHeight="false" outlineLevel="0" collapsed="false">
      <c r="G191" s="22"/>
      <c r="H191" s="22"/>
      <c r="I191" s="22"/>
      <c r="J191" s="22"/>
    </row>
    <row r="192" customFormat="false" ht="13.8" hidden="false" customHeight="false" outlineLevel="0" collapsed="false">
      <c r="G192" s="22"/>
      <c r="H192" s="22"/>
      <c r="I192" s="22"/>
      <c r="J192" s="22"/>
    </row>
    <row r="193" customFormat="false" ht="13.8" hidden="false" customHeight="false" outlineLevel="0" collapsed="false">
      <c r="G193" s="22"/>
      <c r="H193" s="22"/>
      <c r="I193" s="22"/>
      <c r="J193" s="22"/>
    </row>
    <row r="194" customFormat="false" ht="13.8" hidden="false" customHeight="false" outlineLevel="0" collapsed="false">
      <c r="G194" s="22"/>
      <c r="H194" s="22"/>
      <c r="I194" s="22"/>
      <c r="J194" s="22"/>
    </row>
    <row r="195" customFormat="false" ht="13.8" hidden="false" customHeight="false" outlineLevel="0" collapsed="false">
      <c r="G195" s="22"/>
      <c r="H195" s="22"/>
      <c r="I195" s="22"/>
      <c r="J195" s="22"/>
    </row>
    <row r="196" customFormat="false" ht="13.8" hidden="false" customHeight="false" outlineLevel="0" collapsed="false">
      <c r="G196" s="22"/>
      <c r="H196" s="22"/>
      <c r="I196" s="22"/>
      <c r="J196" s="22"/>
    </row>
    <row r="197" customFormat="false" ht="13.8" hidden="false" customHeight="false" outlineLevel="0" collapsed="false">
      <c r="G197" s="22"/>
      <c r="H197" s="22"/>
      <c r="I197" s="22"/>
      <c r="J197" s="22"/>
    </row>
    <row r="198" customFormat="false" ht="13.8" hidden="false" customHeight="false" outlineLevel="0" collapsed="false">
      <c r="G198" s="22"/>
      <c r="H198" s="22"/>
      <c r="I198" s="22"/>
      <c r="J198" s="22"/>
    </row>
    <row r="199" customFormat="false" ht="13.8" hidden="false" customHeight="false" outlineLevel="0" collapsed="false">
      <c r="G199" s="22"/>
      <c r="H199" s="22"/>
      <c r="I199" s="22"/>
      <c r="J199" s="22"/>
    </row>
    <row r="200" customFormat="false" ht="13.8" hidden="false" customHeight="false" outlineLevel="0" collapsed="false">
      <c r="G200" s="22"/>
      <c r="H200" s="22"/>
      <c r="I200" s="22"/>
      <c r="J200" s="22"/>
    </row>
    <row r="201" customFormat="false" ht="13.8" hidden="false" customHeight="false" outlineLevel="0" collapsed="false">
      <c r="G201" s="22"/>
      <c r="H201" s="22"/>
      <c r="I201" s="22"/>
      <c r="J201" s="22"/>
    </row>
    <row r="202" customFormat="false" ht="13.8" hidden="false" customHeight="false" outlineLevel="0" collapsed="false">
      <c r="G202" s="22"/>
      <c r="H202" s="22"/>
      <c r="I202" s="22"/>
      <c r="J202" s="22"/>
    </row>
    <row r="203" customFormat="false" ht="13.8" hidden="false" customHeight="false" outlineLevel="0" collapsed="false">
      <c r="G203" s="22"/>
      <c r="H203" s="22"/>
      <c r="I203" s="22"/>
      <c r="J203" s="22"/>
    </row>
    <row r="204" customFormat="false" ht="13.8" hidden="false" customHeight="false" outlineLevel="0" collapsed="false">
      <c r="G204" s="22"/>
      <c r="H204" s="22"/>
      <c r="I204" s="22"/>
      <c r="J204" s="22"/>
    </row>
    <row r="205" customFormat="false" ht="13.8" hidden="false" customHeight="false" outlineLevel="0" collapsed="false">
      <c r="G205" s="22"/>
      <c r="H205" s="22"/>
      <c r="I205" s="22"/>
      <c r="J205" s="22"/>
    </row>
    <row r="206" customFormat="false" ht="13.8" hidden="false" customHeight="false" outlineLevel="0" collapsed="false">
      <c r="G206" s="22"/>
      <c r="H206" s="22"/>
      <c r="I206" s="22"/>
      <c r="J206" s="22"/>
    </row>
    <row r="207" customFormat="false" ht="13.8" hidden="false" customHeight="false" outlineLevel="0" collapsed="false">
      <c r="G207" s="22"/>
      <c r="H207" s="22"/>
      <c r="I207" s="22"/>
      <c r="J207" s="22"/>
    </row>
    <row r="208" customFormat="false" ht="13.8" hidden="false" customHeight="false" outlineLevel="0" collapsed="false">
      <c r="G208" s="22"/>
      <c r="H208" s="22"/>
      <c r="I208" s="22"/>
      <c r="J208" s="22"/>
    </row>
    <row r="209" customFormat="false" ht="13.8" hidden="false" customHeight="false" outlineLevel="0" collapsed="false">
      <c r="G209" s="22"/>
      <c r="H209" s="22"/>
      <c r="I209" s="22"/>
      <c r="J209" s="22"/>
    </row>
    <row r="210" customFormat="false" ht="13.8" hidden="false" customHeight="false" outlineLevel="0" collapsed="false">
      <c r="G210" s="22"/>
      <c r="H210" s="22"/>
      <c r="I210" s="22"/>
      <c r="J210" s="22"/>
    </row>
    <row r="211" customFormat="false" ht="13.8" hidden="false" customHeight="false" outlineLevel="0" collapsed="false">
      <c r="G211" s="22"/>
      <c r="H211" s="22"/>
      <c r="I211" s="22"/>
      <c r="J211" s="22"/>
    </row>
    <row r="212" customFormat="false" ht="13.8" hidden="false" customHeight="false" outlineLevel="0" collapsed="false">
      <c r="G212" s="22"/>
      <c r="H212" s="22"/>
      <c r="I212" s="22"/>
      <c r="J212" s="22"/>
    </row>
    <row r="213" customFormat="false" ht="13.8" hidden="false" customHeight="false" outlineLevel="0" collapsed="false">
      <c r="G213" s="22"/>
      <c r="H213" s="22"/>
      <c r="I213" s="22"/>
      <c r="J213" s="22"/>
    </row>
    <row r="214" customFormat="false" ht="13.8" hidden="false" customHeight="false" outlineLevel="0" collapsed="false">
      <c r="G214" s="22"/>
      <c r="H214" s="22"/>
      <c r="I214" s="22"/>
      <c r="J214" s="22"/>
    </row>
    <row r="215" customFormat="false" ht="13.8" hidden="false" customHeight="false" outlineLevel="0" collapsed="false">
      <c r="G215" s="22"/>
      <c r="H215" s="22"/>
      <c r="I215" s="22"/>
      <c r="J215" s="22"/>
    </row>
    <row r="216" customFormat="false" ht="13.8" hidden="false" customHeight="false" outlineLevel="0" collapsed="false">
      <c r="G216" s="22"/>
      <c r="H216" s="22"/>
      <c r="I216" s="22"/>
      <c r="J216" s="22"/>
    </row>
    <row r="217" customFormat="false" ht="13.8" hidden="false" customHeight="false" outlineLevel="0" collapsed="false">
      <c r="G217" s="22"/>
      <c r="H217" s="22"/>
      <c r="I217" s="22"/>
      <c r="J217" s="22"/>
    </row>
    <row r="218" customFormat="false" ht="13.8" hidden="false" customHeight="false" outlineLevel="0" collapsed="false">
      <c r="G218" s="22"/>
      <c r="H218" s="22"/>
      <c r="I218" s="22"/>
      <c r="J218" s="22"/>
    </row>
    <row r="219" customFormat="false" ht="13.8" hidden="false" customHeight="false" outlineLevel="0" collapsed="false">
      <c r="G219" s="22"/>
      <c r="H219" s="22"/>
      <c r="I219" s="22"/>
      <c r="J219" s="22"/>
    </row>
    <row r="220" customFormat="false" ht="13.8" hidden="false" customHeight="false" outlineLevel="0" collapsed="false">
      <c r="G220" s="22"/>
      <c r="H220" s="22"/>
      <c r="I220" s="22"/>
      <c r="J220" s="22"/>
    </row>
    <row r="221" customFormat="false" ht="13.8" hidden="false" customHeight="false" outlineLevel="0" collapsed="false">
      <c r="G221" s="22"/>
      <c r="H221" s="22"/>
      <c r="I221" s="22"/>
      <c r="J221" s="22"/>
    </row>
    <row r="222" customFormat="false" ht="13.8" hidden="false" customHeight="false" outlineLevel="0" collapsed="false">
      <c r="G222" s="22"/>
      <c r="H222" s="22"/>
      <c r="I222" s="22"/>
      <c r="J222" s="22"/>
    </row>
    <row r="223" customFormat="false" ht="13.8" hidden="false" customHeight="false" outlineLevel="0" collapsed="false">
      <c r="G223" s="22"/>
      <c r="H223" s="22"/>
      <c r="I223" s="22"/>
      <c r="J223" s="22"/>
    </row>
    <row r="224" customFormat="false" ht="13.8" hidden="false" customHeight="false" outlineLevel="0" collapsed="false">
      <c r="G224" s="22"/>
      <c r="H224" s="22"/>
      <c r="I224" s="22"/>
      <c r="J224" s="22"/>
    </row>
    <row r="225" customFormat="false" ht="13.8" hidden="false" customHeight="false" outlineLevel="0" collapsed="false">
      <c r="G225" s="22"/>
      <c r="H225" s="22"/>
      <c r="I225" s="22"/>
      <c r="J225" s="22"/>
    </row>
    <row r="226" customFormat="false" ht="13.8" hidden="false" customHeight="false" outlineLevel="0" collapsed="false">
      <c r="G226" s="22"/>
      <c r="H226" s="22"/>
      <c r="I226" s="22"/>
      <c r="J226" s="22"/>
    </row>
    <row r="227" customFormat="false" ht="13.8" hidden="false" customHeight="false" outlineLevel="0" collapsed="false">
      <c r="G227" s="22"/>
      <c r="H227" s="22"/>
      <c r="I227" s="22"/>
      <c r="J227" s="22"/>
    </row>
    <row r="228" customFormat="false" ht="13.8" hidden="false" customHeight="false" outlineLevel="0" collapsed="false">
      <c r="G228" s="22"/>
      <c r="H228" s="22"/>
      <c r="I228" s="22"/>
      <c r="J228" s="22"/>
    </row>
    <row r="229" customFormat="false" ht="13.8" hidden="false" customHeight="false" outlineLevel="0" collapsed="false">
      <c r="G229" s="22"/>
      <c r="H229" s="22"/>
      <c r="I229" s="22"/>
      <c r="J229" s="22"/>
    </row>
    <row r="230" customFormat="false" ht="13.8" hidden="false" customHeight="false" outlineLevel="0" collapsed="false">
      <c r="G230" s="22"/>
      <c r="H230" s="22"/>
      <c r="I230" s="22"/>
      <c r="J230" s="22"/>
    </row>
    <row r="231" customFormat="false" ht="13.8" hidden="false" customHeight="false" outlineLevel="0" collapsed="false">
      <c r="G231" s="22"/>
      <c r="H231" s="22"/>
      <c r="I231" s="22"/>
      <c r="J231" s="22"/>
    </row>
    <row r="232" customFormat="false" ht="13.8" hidden="false" customHeight="false" outlineLevel="0" collapsed="false">
      <c r="G232" s="22"/>
      <c r="H232" s="22"/>
      <c r="I232" s="22"/>
      <c r="J232" s="22"/>
    </row>
    <row r="233" customFormat="false" ht="13.8" hidden="false" customHeight="false" outlineLevel="0" collapsed="false">
      <c r="G233" s="22"/>
      <c r="H233" s="22"/>
      <c r="I233" s="22"/>
      <c r="J233" s="22"/>
    </row>
    <row r="234" customFormat="false" ht="13.8" hidden="false" customHeight="false" outlineLevel="0" collapsed="false">
      <c r="G234" s="22"/>
      <c r="H234" s="22"/>
      <c r="I234" s="22"/>
      <c r="J234" s="22"/>
    </row>
    <row r="235" customFormat="false" ht="13.8" hidden="false" customHeight="false" outlineLevel="0" collapsed="false">
      <c r="G235" s="22"/>
      <c r="H235" s="22"/>
      <c r="I235" s="22"/>
      <c r="J235" s="22"/>
    </row>
    <row r="236" customFormat="false" ht="13.8" hidden="false" customHeight="false" outlineLevel="0" collapsed="false">
      <c r="G236" s="22"/>
      <c r="H236" s="22"/>
      <c r="I236" s="22"/>
      <c r="J236" s="22"/>
    </row>
    <row r="237" customFormat="false" ht="13.8" hidden="false" customHeight="false" outlineLevel="0" collapsed="false">
      <c r="G237" s="22"/>
      <c r="H237" s="22"/>
      <c r="I237" s="22"/>
      <c r="J237" s="22"/>
    </row>
    <row r="238" customFormat="false" ht="13.8" hidden="false" customHeight="false" outlineLevel="0" collapsed="false">
      <c r="G238" s="22"/>
      <c r="H238" s="22"/>
      <c r="I238" s="22"/>
      <c r="J238" s="22"/>
    </row>
    <row r="239" customFormat="false" ht="13.8" hidden="false" customHeight="false" outlineLevel="0" collapsed="false">
      <c r="G239" s="22"/>
      <c r="H239" s="22"/>
      <c r="I239" s="22"/>
      <c r="J239" s="22"/>
    </row>
    <row r="240" customFormat="false" ht="13.8" hidden="false" customHeight="false" outlineLevel="0" collapsed="false">
      <c r="G240" s="22"/>
      <c r="H240" s="22"/>
      <c r="I240" s="22"/>
      <c r="J240" s="22"/>
    </row>
    <row r="241" customFormat="false" ht="13.8" hidden="false" customHeight="false" outlineLevel="0" collapsed="false">
      <c r="G241" s="22"/>
      <c r="H241" s="22"/>
      <c r="I241" s="22"/>
      <c r="J241" s="22"/>
    </row>
    <row r="242" customFormat="false" ht="13.8" hidden="false" customHeight="false" outlineLevel="0" collapsed="false">
      <c r="G242" s="22"/>
      <c r="H242" s="22"/>
      <c r="I242" s="22"/>
      <c r="J242" s="22"/>
    </row>
    <row r="243" customFormat="false" ht="13.8" hidden="false" customHeight="false" outlineLevel="0" collapsed="false">
      <c r="G243" s="22"/>
      <c r="H243" s="22"/>
      <c r="I243" s="22"/>
      <c r="J243" s="22"/>
    </row>
    <row r="244" customFormat="false" ht="13.8" hidden="false" customHeight="false" outlineLevel="0" collapsed="false">
      <c r="G244" s="22"/>
      <c r="H244" s="22"/>
      <c r="I244" s="22"/>
      <c r="J244" s="22"/>
    </row>
    <row r="245" customFormat="false" ht="13.8" hidden="false" customHeight="false" outlineLevel="0" collapsed="false">
      <c r="G245" s="22"/>
      <c r="H245" s="22"/>
      <c r="I245" s="22"/>
      <c r="J245" s="22"/>
    </row>
    <row r="246" customFormat="false" ht="13.8" hidden="false" customHeight="false" outlineLevel="0" collapsed="false">
      <c r="G246" s="22"/>
      <c r="H246" s="22"/>
      <c r="I246" s="22"/>
      <c r="J246" s="22"/>
    </row>
    <row r="247" customFormat="false" ht="13.8" hidden="false" customHeight="false" outlineLevel="0" collapsed="false">
      <c r="G247" s="22"/>
      <c r="H247" s="22"/>
      <c r="I247" s="22"/>
      <c r="J247" s="22"/>
    </row>
    <row r="248" customFormat="false" ht="13.8" hidden="false" customHeight="false" outlineLevel="0" collapsed="false">
      <c r="G248" s="22"/>
      <c r="H248" s="22"/>
      <c r="I248" s="22"/>
      <c r="J248" s="22"/>
    </row>
    <row r="249" customFormat="false" ht="13.8" hidden="false" customHeight="false" outlineLevel="0" collapsed="false">
      <c r="G249" s="22"/>
      <c r="H249" s="22"/>
      <c r="I249" s="22"/>
      <c r="J249" s="22"/>
    </row>
    <row r="250" customFormat="false" ht="13.8" hidden="false" customHeight="false" outlineLevel="0" collapsed="false">
      <c r="G250" s="22"/>
      <c r="H250" s="22"/>
      <c r="I250" s="22"/>
      <c r="J250" s="22"/>
    </row>
    <row r="251" customFormat="false" ht="13.8" hidden="false" customHeight="false" outlineLevel="0" collapsed="false">
      <c r="G251" s="22"/>
      <c r="H251" s="22"/>
      <c r="I251" s="22"/>
      <c r="J251" s="22"/>
    </row>
    <row r="252" customFormat="false" ht="13.8" hidden="false" customHeight="false" outlineLevel="0" collapsed="false">
      <c r="G252" s="22"/>
      <c r="H252" s="22"/>
      <c r="I252" s="22"/>
      <c r="J252" s="22"/>
    </row>
    <row r="253" customFormat="false" ht="13.8" hidden="false" customHeight="false" outlineLevel="0" collapsed="false">
      <c r="G253" s="22"/>
      <c r="H253" s="22"/>
      <c r="I253" s="22"/>
      <c r="J253" s="22"/>
    </row>
    <row r="254" customFormat="false" ht="13.8" hidden="false" customHeight="false" outlineLevel="0" collapsed="false">
      <c r="G254" s="22"/>
      <c r="H254" s="22"/>
      <c r="I254" s="22"/>
      <c r="J254" s="22"/>
    </row>
    <row r="255" customFormat="false" ht="13.8" hidden="false" customHeight="false" outlineLevel="0" collapsed="false">
      <c r="G255" s="22"/>
      <c r="H255" s="22"/>
      <c r="I255" s="22"/>
      <c r="J255" s="22"/>
    </row>
    <row r="256" customFormat="false" ht="13.8" hidden="false" customHeight="false" outlineLevel="0" collapsed="false">
      <c r="G256" s="22"/>
      <c r="H256" s="22"/>
      <c r="I256" s="22"/>
      <c r="J256" s="22"/>
    </row>
    <row r="257" customFormat="false" ht="13.8" hidden="false" customHeight="false" outlineLevel="0" collapsed="false">
      <c r="G257" s="22"/>
      <c r="H257" s="22"/>
      <c r="I257" s="22"/>
      <c r="J257" s="22"/>
    </row>
    <row r="258" customFormat="false" ht="13.8" hidden="false" customHeight="false" outlineLevel="0" collapsed="false">
      <c r="G258" s="22"/>
      <c r="H258" s="22"/>
      <c r="I258" s="22"/>
      <c r="J258" s="22"/>
    </row>
    <row r="259" customFormat="false" ht="13.8" hidden="false" customHeight="false" outlineLevel="0" collapsed="false">
      <c r="G259" s="22"/>
      <c r="H259" s="22"/>
      <c r="I259" s="22"/>
      <c r="J259" s="22"/>
    </row>
    <row r="260" customFormat="false" ht="13.8" hidden="false" customHeight="false" outlineLevel="0" collapsed="false">
      <c r="G260" s="22"/>
      <c r="H260" s="22"/>
      <c r="I260" s="22"/>
      <c r="J260" s="22"/>
    </row>
    <row r="261" customFormat="false" ht="13.8" hidden="false" customHeight="false" outlineLevel="0" collapsed="false">
      <c r="G261" s="22"/>
      <c r="H261" s="22"/>
      <c r="I261" s="22"/>
      <c r="J261" s="22"/>
    </row>
    <row r="262" customFormat="false" ht="13.8" hidden="false" customHeight="false" outlineLevel="0" collapsed="false">
      <c r="G262" s="22"/>
      <c r="H262" s="22"/>
      <c r="I262" s="22"/>
      <c r="J262" s="22"/>
    </row>
    <row r="263" customFormat="false" ht="13.8" hidden="false" customHeight="false" outlineLevel="0" collapsed="false">
      <c r="G263" s="22"/>
      <c r="H263" s="22"/>
      <c r="I263" s="22"/>
      <c r="J263" s="22"/>
    </row>
    <row r="264" customFormat="false" ht="13.8" hidden="false" customHeight="false" outlineLevel="0" collapsed="false">
      <c r="G264" s="22"/>
      <c r="H264" s="22"/>
      <c r="I264" s="22"/>
      <c r="J264" s="22"/>
    </row>
    <row r="265" customFormat="false" ht="13.8" hidden="false" customHeight="false" outlineLevel="0" collapsed="false">
      <c r="G265" s="22"/>
      <c r="H265" s="22"/>
      <c r="I265" s="22"/>
      <c r="J265" s="22"/>
    </row>
    <row r="266" customFormat="false" ht="13.8" hidden="false" customHeight="false" outlineLevel="0" collapsed="false">
      <c r="G266" s="22"/>
      <c r="H266" s="22"/>
      <c r="I266" s="22"/>
      <c r="J266" s="22"/>
    </row>
    <row r="267" customFormat="false" ht="13.8" hidden="false" customHeight="false" outlineLevel="0" collapsed="false">
      <c r="G267" s="22"/>
      <c r="H267" s="22"/>
      <c r="I267" s="22"/>
      <c r="J267" s="22"/>
    </row>
    <row r="268" customFormat="false" ht="13.8" hidden="false" customHeight="false" outlineLevel="0" collapsed="false">
      <c r="G268" s="22"/>
      <c r="H268" s="22"/>
      <c r="I268" s="22"/>
      <c r="J268" s="22"/>
    </row>
    <row r="269" customFormat="false" ht="13.8" hidden="false" customHeight="false" outlineLevel="0" collapsed="false">
      <c r="G269" s="22"/>
      <c r="H269" s="22"/>
      <c r="I269" s="22"/>
      <c r="J269" s="22"/>
    </row>
    <row r="270" customFormat="false" ht="13.8" hidden="false" customHeight="false" outlineLevel="0" collapsed="false">
      <c r="G270" s="22"/>
      <c r="H270" s="22"/>
      <c r="I270" s="22"/>
      <c r="J270" s="22"/>
    </row>
    <row r="271" customFormat="false" ht="13.8" hidden="false" customHeight="false" outlineLevel="0" collapsed="false">
      <c r="G271" s="22"/>
      <c r="H271" s="22"/>
      <c r="I271" s="22"/>
      <c r="J271" s="22"/>
    </row>
    <row r="272" customFormat="false" ht="13.8" hidden="false" customHeight="false" outlineLevel="0" collapsed="false">
      <c r="G272" s="22"/>
      <c r="H272" s="22"/>
      <c r="I272" s="22"/>
      <c r="J272" s="22"/>
    </row>
    <row r="273" customFormat="false" ht="13.8" hidden="false" customHeight="false" outlineLevel="0" collapsed="false">
      <c r="G273" s="22"/>
      <c r="H273" s="22"/>
      <c r="I273" s="22"/>
      <c r="J273" s="22"/>
    </row>
    <row r="274" customFormat="false" ht="13.8" hidden="false" customHeight="false" outlineLevel="0" collapsed="false">
      <c r="G274" s="22"/>
      <c r="H274" s="22"/>
      <c r="I274" s="22"/>
      <c r="J274" s="22"/>
    </row>
    <row r="275" customFormat="false" ht="13.8" hidden="false" customHeight="false" outlineLevel="0" collapsed="false">
      <c r="G275" s="22"/>
      <c r="H275" s="22"/>
      <c r="I275" s="22"/>
      <c r="J275" s="22"/>
    </row>
    <row r="276" customFormat="false" ht="13.8" hidden="false" customHeight="false" outlineLevel="0" collapsed="false">
      <c r="G276" s="22"/>
      <c r="H276" s="22"/>
      <c r="I276" s="22"/>
      <c r="J276" s="22"/>
    </row>
    <row r="277" customFormat="false" ht="13.8" hidden="false" customHeight="false" outlineLevel="0" collapsed="false">
      <c r="G277" s="22"/>
      <c r="H277" s="22"/>
      <c r="I277" s="22"/>
      <c r="J277" s="22"/>
    </row>
    <row r="278" customFormat="false" ht="13.8" hidden="false" customHeight="false" outlineLevel="0" collapsed="false">
      <c r="G278" s="22"/>
      <c r="H278" s="22"/>
      <c r="I278" s="22"/>
      <c r="J278" s="22"/>
    </row>
    <row r="279" customFormat="false" ht="13.8" hidden="false" customHeight="false" outlineLevel="0" collapsed="false">
      <c r="G279" s="22"/>
      <c r="H279" s="22"/>
      <c r="I279" s="22"/>
      <c r="J279" s="22"/>
    </row>
    <row r="280" customFormat="false" ht="13.8" hidden="false" customHeight="false" outlineLevel="0" collapsed="false">
      <c r="G280" s="22"/>
      <c r="H280" s="22"/>
      <c r="I280" s="22"/>
      <c r="J280" s="22"/>
    </row>
    <row r="281" customFormat="false" ht="13.8" hidden="false" customHeight="false" outlineLevel="0" collapsed="false">
      <c r="G281" s="22"/>
      <c r="H281" s="22"/>
      <c r="I281" s="22"/>
      <c r="J281" s="22"/>
    </row>
    <row r="282" customFormat="false" ht="13.8" hidden="false" customHeight="false" outlineLevel="0" collapsed="false">
      <c r="G282" s="22"/>
      <c r="H282" s="22"/>
      <c r="I282" s="22"/>
      <c r="J282" s="22"/>
    </row>
    <row r="283" customFormat="false" ht="13.8" hidden="false" customHeight="false" outlineLevel="0" collapsed="false">
      <c r="G283" s="22"/>
      <c r="H283" s="22"/>
      <c r="I283" s="22"/>
      <c r="J283" s="22"/>
    </row>
    <row r="284" customFormat="false" ht="13.8" hidden="false" customHeight="false" outlineLevel="0" collapsed="false">
      <c r="G284" s="22"/>
      <c r="H284" s="22"/>
      <c r="I284" s="22"/>
      <c r="J284" s="22"/>
    </row>
    <row r="285" customFormat="false" ht="13.8" hidden="false" customHeight="false" outlineLevel="0" collapsed="false">
      <c r="G285" s="22"/>
      <c r="H285" s="22"/>
      <c r="I285" s="22"/>
      <c r="J285" s="22"/>
    </row>
    <row r="286" customFormat="false" ht="13.8" hidden="false" customHeight="false" outlineLevel="0" collapsed="false">
      <c r="G286" s="22"/>
      <c r="H286" s="22"/>
      <c r="I286" s="22"/>
      <c r="J286" s="22"/>
    </row>
    <row r="287" customFormat="false" ht="13.8" hidden="false" customHeight="false" outlineLevel="0" collapsed="false">
      <c r="G287" s="22"/>
      <c r="H287" s="22"/>
      <c r="I287" s="22"/>
      <c r="J287" s="22"/>
    </row>
    <row r="288" customFormat="false" ht="13.8" hidden="false" customHeight="false" outlineLevel="0" collapsed="false">
      <c r="G288" s="22"/>
      <c r="H288" s="22"/>
      <c r="I288" s="22"/>
      <c r="J288" s="22"/>
    </row>
    <row r="289" customFormat="false" ht="13.8" hidden="false" customHeight="false" outlineLevel="0" collapsed="false">
      <c r="G289" s="22"/>
      <c r="H289" s="22"/>
      <c r="I289" s="22"/>
      <c r="J289" s="22"/>
    </row>
    <row r="290" customFormat="false" ht="13.8" hidden="false" customHeight="false" outlineLevel="0" collapsed="false">
      <c r="G290" s="22"/>
      <c r="H290" s="22"/>
      <c r="I290" s="22"/>
      <c r="J290" s="22"/>
    </row>
    <row r="291" customFormat="false" ht="13.8" hidden="false" customHeight="false" outlineLevel="0" collapsed="false">
      <c r="G291" s="22"/>
      <c r="H291" s="22"/>
      <c r="I291" s="22"/>
      <c r="J291" s="22"/>
    </row>
    <row r="292" customFormat="false" ht="13.8" hidden="false" customHeight="false" outlineLevel="0" collapsed="false">
      <c r="G292" s="22"/>
      <c r="H292" s="22"/>
      <c r="I292" s="22"/>
      <c r="J292" s="22"/>
    </row>
    <row r="293" customFormat="false" ht="13.8" hidden="false" customHeight="false" outlineLevel="0" collapsed="false">
      <c r="G293" s="22"/>
      <c r="H293" s="22"/>
      <c r="I293" s="22"/>
      <c r="J293" s="22"/>
    </row>
    <row r="294" customFormat="false" ht="13.8" hidden="false" customHeight="false" outlineLevel="0" collapsed="false">
      <c r="G294" s="22"/>
      <c r="H294" s="22"/>
      <c r="I294" s="22"/>
      <c r="J294" s="22"/>
    </row>
    <row r="295" customFormat="false" ht="13.8" hidden="false" customHeight="false" outlineLevel="0" collapsed="false">
      <c r="G295" s="22"/>
      <c r="H295" s="22"/>
      <c r="I295" s="22"/>
      <c r="J295" s="22"/>
    </row>
    <row r="296" customFormat="false" ht="13.8" hidden="false" customHeight="false" outlineLevel="0" collapsed="false">
      <c r="G296" s="22"/>
      <c r="H296" s="22"/>
      <c r="I296" s="22"/>
      <c r="J296" s="22"/>
    </row>
    <row r="297" customFormat="false" ht="13.8" hidden="false" customHeight="false" outlineLevel="0" collapsed="false">
      <c r="G297" s="22"/>
      <c r="H297" s="22"/>
      <c r="I297" s="22"/>
      <c r="J297" s="22"/>
    </row>
    <row r="298" customFormat="false" ht="13.8" hidden="false" customHeight="false" outlineLevel="0" collapsed="false">
      <c r="G298" s="22"/>
      <c r="H298" s="22"/>
      <c r="I298" s="22"/>
      <c r="J298" s="22"/>
    </row>
    <row r="299" customFormat="false" ht="13.8" hidden="false" customHeight="false" outlineLevel="0" collapsed="false">
      <c r="G299" s="22"/>
      <c r="H299" s="22"/>
      <c r="I299" s="22"/>
      <c r="J299" s="22"/>
    </row>
    <row r="300" customFormat="false" ht="13.8" hidden="false" customHeight="false" outlineLevel="0" collapsed="false">
      <c r="G300" s="22"/>
      <c r="H300" s="22"/>
      <c r="I300" s="22"/>
      <c r="J300" s="22"/>
    </row>
    <row r="301" customFormat="false" ht="13.8" hidden="false" customHeight="false" outlineLevel="0" collapsed="false">
      <c r="G301" s="22"/>
      <c r="H301" s="22"/>
      <c r="I301" s="22"/>
      <c r="J301" s="22"/>
    </row>
    <row r="302" customFormat="false" ht="13.8" hidden="false" customHeight="false" outlineLevel="0" collapsed="false">
      <c r="G302" s="22"/>
      <c r="H302" s="22"/>
      <c r="I302" s="22"/>
      <c r="J302" s="22"/>
    </row>
    <row r="303" customFormat="false" ht="13.8" hidden="false" customHeight="false" outlineLevel="0" collapsed="false">
      <c r="G303" s="22"/>
      <c r="H303" s="22"/>
      <c r="I303" s="22"/>
      <c r="J303" s="22"/>
    </row>
    <row r="304" customFormat="false" ht="13.8" hidden="false" customHeight="false" outlineLevel="0" collapsed="false">
      <c r="G304" s="22"/>
      <c r="H304" s="22"/>
      <c r="I304" s="22"/>
      <c r="J304" s="22"/>
    </row>
    <row r="305" customFormat="false" ht="13.8" hidden="false" customHeight="false" outlineLevel="0" collapsed="false">
      <c r="G305" s="22"/>
      <c r="H305" s="22"/>
      <c r="I305" s="22"/>
      <c r="J305" s="22"/>
    </row>
    <row r="306" customFormat="false" ht="13.8" hidden="false" customHeight="false" outlineLevel="0" collapsed="false">
      <c r="G306" s="22"/>
      <c r="H306" s="22"/>
      <c r="I306" s="22"/>
      <c r="J306" s="22"/>
    </row>
    <row r="307" customFormat="false" ht="13.8" hidden="false" customHeight="false" outlineLevel="0" collapsed="false">
      <c r="G307" s="22"/>
      <c r="H307" s="22"/>
      <c r="I307" s="22"/>
      <c r="J307" s="22"/>
    </row>
    <row r="308" customFormat="false" ht="13.8" hidden="false" customHeight="false" outlineLevel="0" collapsed="false">
      <c r="G308" s="22"/>
      <c r="H308" s="22"/>
      <c r="I308" s="22"/>
      <c r="J308" s="22"/>
    </row>
    <row r="309" customFormat="false" ht="13.8" hidden="false" customHeight="false" outlineLevel="0" collapsed="false">
      <c r="G309" s="22"/>
      <c r="H309" s="22"/>
      <c r="I309" s="22"/>
      <c r="J309" s="22"/>
    </row>
    <row r="310" customFormat="false" ht="13.8" hidden="false" customHeight="false" outlineLevel="0" collapsed="false">
      <c r="G310" s="22"/>
      <c r="H310" s="22"/>
      <c r="I310" s="22"/>
      <c r="J310" s="22"/>
    </row>
    <row r="311" customFormat="false" ht="13.8" hidden="false" customHeight="false" outlineLevel="0" collapsed="false">
      <c r="G311" s="22"/>
      <c r="H311" s="22"/>
      <c r="I311" s="22"/>
      <c r="J311" s="22"/>
    </row>
    <row r="312" customFormat="false" ht="13.8" hidden="false" customHeight="false" outlineLevel="0" collapsed="false">
      <c r="G312" s="22"/>
      <c r="H312" s="22"/>
      <c r="I312" s="22"/>
      <c r="J312" s="22"/>
    </row>
    <row r="313" customFormat="false" ht="13.8" hidden="false" customHeight="false" outlineLevel="0" collapsed="false">
      <c r="G313" s="22"/>
      <c r="H313" s="22"/>
      <c r="I313" s="22"/>
      <c r="J313" s="22"/>
    </row>
    <row r="314" customFormat="false" ht="13.8" hidden="false" customHeight="false" outlineLevel="0" collapsed="false">
      <c r="G314" s="22"/>
      <c r="H314" s="22"/>
      <c r="I314" s="22"/>
      <c r="J314" s="22"/>
    </row>
    <row r="315" customFormat="false" ht="13.8" hidden="false" customHeight="false" outlineLevel="0" collapsed="false">
      <c r="G315" s="22"/>
      <c r="H315" s="22"/>
      <c r="I315" s="22"/>
      <c r="J315" s="22"/>
    </row>
    <row r="316" customFormat="false" ht="13.8" hidden="false" customHeight="false" outlineLevel="0" collapsed="false">
      <c r="G316" s="22"/>
      <c r="H316" s="22"/>
      <c r="I316" s="22"/>
      <c r="J316" s="22"/>
    </row>
    <row r="317" customFormat="false" ht="13.8" hidden="false" customHeight="false" outlineLevel="0" collapsed="false">
      <c r="G317" s="22"/>
      <c r="H317" s="22"/>
      <c r="I317" s="22"/>
      <c r="J317" s="22"/>
    </row>
    <row r="318" customFormat="false" ht="13.8" hidden="false" customHeight="false" outlineLevel="0" collapsed="false">
      <c r="G318" s="22"/>
      <c r="H318" s="22"/>
      <c r="I318" s="22"/>
      <c r="J318" s="22"/>
    </row>
    <row r="319" customFormat="false" ht="13.8" hidden="false" customHeight="false" outlineLevel="0" collapsed="false">
      <c r="G319" s="22"/>
      <c r="H319" s="22"/>
      <c r="I319" s="22"/>
      <c r="J319" s="22"/>
    </row>
    <row r="320" customFormat="false" ht="13.8" hidden="false" customHeight="false" outlineLevel="0" collapsed="false">
      <c r="G320" s="22"/>
      <c r="H320" s="22"/>
      <c r="I320" s="22"/>
      <c r="J320" s="22"/>
    </row>
    <row r="321" customFormat="false" ht="13.8" hidden="false" customHeight="false" outlineLevel="0" collapsed="false">
      <c r="G321" s="22"/>
      <c r="H321" s="22"/>
      <c r="I321" s="22"/>
      <c r="J321" s="22"/>
    </row>
    <row r="322" customFormat="false" ht="13.8" hidden="false" customHeight="false" outlineLevel="0" collapsed="false">
      <c r="G322" s="22"/>
      <c r="H322" s="22"/>
      <c r="I322" s="22"/>
      <c r="J322" s="22"/>
    </row>
    <row r="323" customFormat="false" ht="13.8" hidden="false" customHeight="false" outlineLevel="0" collapsed="false">
      <c r="G323" s="22"/>
      <c r="H323" s="22"/>
      <c r="I323" s="22"/>
      <c r="J323" s="22"/>
    </row>
    <row r="324" customFormat="false" ht="13.8" hidden="false" customHeight="false" outlineLevel="0" collapsed="false">
      <c r="G324" s="22"/>
      <c r="H324" s="22"/>
      <c r="I324" s="22"/>
      <c r="J324" s="22"/>
    </row>
    <row r="325" customFormat="false" ht="13.8" hidden="false" customHeight="false" outlineLevel="0" collapsed="false">
      <c r="G325" s="22"/>
      <c r="H325" s="22"/>
      <c r="I325" s="22"/>
      <c r="J325" s="22"/>
    </row>
    <row r="326" customFormat="false" ht="13.8" hidden="false" customHeight="false" outlineLevel="0" collapsed="false">
      <c r="G326" s="22"/>
      <c r="H326" s="22"/>
      <c r="I326" s="22"/>
      <c r="J326" s="22"/>
    </row>
    <row r="327" customFormat="false" ht="13.8" hidden="false" customHeight="false" outlineLevel="0" collapsed="false">
      <c r="G327" s="22"/>
      <c r="H327" s="22"/>
      <c r="I327" s="22"/>
      <c r="J327" s="22"/>
    </row>
    <row r="328" customFormat="false" ht="13.8" hidden="false" customHeight="false" outlineLevel="0" collapsed="false">
      <c r="G328" s="22"/>
      <c r="H328" s="22"/>
      <c r="I328" s="22"/>
      <c r="J328" s="22"/>
    </row>
    <row r="329" customFormat="false" ht="13.8" hidden="false" customHeight="false" outlineLevel="0" collapsed="false">
      <c r="G329" s="22"/>
      <c r="H329" s="22"/>
      <c r="I329" s="22"/>
      <c r="J329" s="22"/>
    </row>
    <row r="330" customFormat="false" ht="13.8" hidden="false" customHeight="false" outlineLevel="0" collapsed="false">
      <c r="G330" s="22"/>
      <c r="H330" s="22"/>
      <c r="I330" s="22"/>
      <c r="J330" s="22"/>
    </row>
    <row r="331" customFormat="false" ht="13.8" hidden="false" customHeight="false" outlineLevel="0" collapsed="false">
      <c r="G331" s="22"/>
      <c r="H331" s="22"/>
      <c r="I331" s="22"/>
      <c r="J331" s="22"/>
    </row>
    <row r="332" customFormat="false" ht="13.8" hidden="false" customHeight="false" outlineLevel="0" collapsed="false">
      <c r="G332" s="22"/>
      <c r="H332" s="22"/>
      <c r="I332" s="22"/>
      <c r="J332" s="22"/>
    </row>
    <row r="333" customFormat="false" ht="13.8" hidden="false" customHeight="false" outlineLevel="0" collapsed="false">
      <c r="G333" s="22"/>
      <c r="H333" s="22"/>
      <c r="I333" s="22"/>
      <c r="J333" s="22"/>
    </row>
    <row r="334" customFormat="false" ht="13.8" hidden="false" customHeight="false" outlineLevel="0" collapsed="false">
      <c r="G334" s="22"/>
      <c r="H334" s="22"/>
      <c r="I334" s="22"/>
      <c r="J334" s="22"/>
    </row>
    <row r="335" customFormat="false" ht="13.8" hidden="false" customHeight="false" outlineLevel="0" collapsed="false">
      <c r="G335" s="22"/>
      <c r="H335" s="22"/>
      <c r="I335" s="22"/>
      <c r="J335" s="22"/>
    </row>
    <row r="336" customFormat="false" ht="13.8" hidden="false" customHeight="false" outlineLevel="0" collapsed="false">
      <c r="G336" s="22"/>
      <c r="H336" s="22"/>
      <c r="I336" s="22"/>
      <c r="J336" s="22"/>
    </row>
    <row r="337" customFormat="false" ht="13.8" hidden="false" customHeight="false" outlineLevel="0" collapsed="false">
      <c r="G337" s="22"/>
      <c r="H337" s="22"/>
      <c r="I337" s="22"/>
      <c r="J337" s="22"/>
    </row>
    <row r="338" customFormat="false" ht="13.8" hidden="false" customHeight="false" outlineLevel="0" collapsed="false">
      <c r="G338" s="22"/>
      <c r="H338" s="22"/>
      <c r="I338" s="22"/>
      <c r="J338" s="22"/>
    </row>
    <row r="339" customFormat="false" ht="13.8" hidden="false" customHeight="false" outlineLevel="0" collapsed="false">
      <c r="G339" s="22"/>
      <c r="H339" s="22"/>
      <c r="I339" s="22"/>
      <c r="J339" s="22"/>
    </row>
    <row r="340" customFormat="false" ht="13.8" hidden="false" customHeight="false" outlineLevel="0" collapsed="false">
      <c r="G340" s="22"/>
      <c r="H340" s="22"/>
      <c r="I340" s="22"/>
      <c r="J340" s="22"/>
    </row>
    <row r="341" customFormat="false" ht="13.8" hidden="false" customHeight="false" outlineLevel="0" collapsed="false">
      <c r="G341" s="22"/>
      <c r="H341" s="22"/>
      <c r="I341" s="22"/>
      <c r="J341" s="22"/>
    </row>
    <row r="342" customFormat="false" ht="13.8" hidden="false" customHeight="false" outlineLevel="0" collapsed="false">
      <c r="G342" s="22"/>
      <c r="H342" s="22"/>
      <c r="I342" s="22"/>
      <c r="J342" s="2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L11" activeCellId="0" sqref="L11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2" min="2" style="0" width="13.76"/>
    <col collapsed="false" customWidth="true" hidden="false" outlineLevel="0" max="4" min="4" style="0" width="14.36"/>
    <col collapsed="false" customWidth="true" hidden="false" outlineLevel="0" max="5" min="5" style="0" width="16.5"/>
    <col collapsed="false" customWidth="true" hidden="false" outlineLevel="0" max="7" min="7" style="0" width="13.03"/>
    <col collapsed="false" customWidth="true" hidden="false" outlineLevel="0" max="8" min="8" style="8" width="14.54"/>
  </cols>
  <sheetData>
    <row r="1" customFormat="false" ht="13.8" hidden="false" customHeight="false" outlineLevel="0" collapsed="false">
      <c r="A1" s="0" t="s">
        <v>43</v>
      </c>
      <c r="B1" s="0" t="s">
        <v>1</v>
      </c>
      <c r="C1" s="0" t="s">
        <v>52</v>
      </c>
      <c r="D1" s="0" t="s">
        <v>53</v>
      </c>
      <c r="E1" s="0" t="s">
        <v>54</v>
      </c>
      <c r="F1" s="0" t="s">
        <v>55</v>
      </c>
      <c r="G1" s="0" t="s">
        <v>56</v>
      </c>
      <c r="H1" s="11" t="s">
        <v>39</v>
      </c>
    </row>
    <row r="2" customFormat="false" ht="13.8" hidden="false" customHeight="false" outlineLevel="0" collapsed="false">
      <c r="A2" s="36" t="n">
        <v>1</v>
      </c>
      <c r="B2" s="36" t="s">
        <v>48</v>
      </c>
      <c r="C2" s="36" t="n">
        <v>31</v>
      </c>
      <c r="D2" s="36" t="n">
        <v>34</v>
      </c>
      <c r="E2" s="36" t="n">
        <v>17</v>
      </c>
      <c r="F2" s="36" t="n">
        <v>27</v>
      </c>
      <c r="G2" s="36" t="n">
        <v>4</v>
      </c>
      <c r="H2" s="37" t="n">
        <v>5.894736842</v>
      </c>
    </row>
    <row r="3" customFormat="false" ht="13.8" hidden="false" customHeight="false" outlineLevel="0" collapsed="false">
      <c r="A3" s="36" t="n">
        <v>1</v>
      </c>
      <c r="B3" s="36" t="s">
        <v>49</v>
      </c>
      <c r="C3" s="36" t="n">
        <v>24</v>
      </c>
      <c r="D3" s="36" t="n">
        <v>26</v>
      </c>
      <c r="E3" s="36" t="n">
        <v>15</v>
      </c>
      <c r="F3" s="36" t="n">
        <v>40</v>
      </c>
      <c r="G3" s="36" t="n">
        <v>4</v>
      </c>
      <c r="H3" s="37" t="n">
        <v>5.578947368</v>
      </c>
    </row>
    <row r="4" customFormat="false" ht="13.8" hidden="false" customHeight="false" outlineLevel="0" collapsed="false">
      <c r="A4" s="36" t="n">
        <v>1</v>
      </c>
      <c r="B4" s="36" t="s">
        <v>50</v>
      </c>
      <c r="C4" s="36" t="n">
        <v>28</v>
      </c>
      <c r="D4" s="36" t="n">
        <v>30</v>
      </c>
      <c r="E4" s="36" t="n">
        <v>13</v>
      </c>
      <c r="F4" s="36" t="n">
        <v>78</v>
      </c>
      <c r="G4" s="36" t="n">
        <v>4</v>
      </c>
      <c r="H4" s="37" t="n">
        <v>5.947368421</v>
      </c>
    </row>
    <row r="5" customFormat="false" ht="13.8" hidden="false" customHeight="false" outlineLevel="0" collapsed="false">
      <c r="A5" s="36" t="n">
        <v>1</v>
      </c>
      <c r="B5" s="36" t="s">
        <v>51</v>
      </c>
      <c r="C5" s="36" t="n">
        <v>30</v>
      </c>
      <c r="D5" s="36" t="n">
        <v>33</v>
      </c>
      <c r="E5" s="36" t="n">
        <v>7</v>
      </c>
      <c r="F5" s="36" t="n">
        <v>44</v>
      </c>
      <c r="G5" s="36" t="n">
        <v>6</v>
      </c>
      <c r="H5" s="37" t="n">
        <v>6.105263158</v>
      </c>
    </row>
    <row r="6" customFormat="false" ht="13.8" hidden="false" customHeight="false" outlineLevel="0" collapsed="false">
      <c r="A6" s="0" t="n">
        <v>2</v>
      </c>
      <c r="B6" s="0" t="s">
        <v>48</v>
      </c>
      <c r="C6" s="0" t="n">
        <v>20</v>
      </c>
      <c r="D6" s="0" t="n">
        <v>23</v>
      </c>
      <c r="E6" s="0" t="n">
        <v>4</v>
      </c>
      <c r="F6" s="0" t="n">
        <v>25</v>
      </c>
      <c r="G6" s="0" t="n">
        <v>6</v>
      </c>
      <c r="H6" s="14" t="n">
        <v>6.052631579</v>
      </c>
    </row>
    <row r="7" customFormat="false" ht="13.8" hidden="false" customHeight="false" outlineLevel="0" collapsed="false">
      <c r="A7" s="0" t="n">
        <v>2</v>
      </c>
      <c r="B7" s="0" t="s">
        <v>49</v>
      </c>
      <c r="C7" s="0" t="n">
        <v>20</v>
      </c>
      <c r="D7" s="0" t="n">
        <v>22</v>
      </c>
      <c r="E7" s="0" t="n">
        <v>11</v>
      </c>
      <c r="F7" s="0" t="n">
        <v>24</v>
      </c>
      <c r="G7" s="0" t="n">
        <v>8</v>
      </c>
      <c r="H7" s="14" t="n">
        <v>5.578947368</v>
      </c>
    </row>
    <row r="8" customFormat="false" ht="13.8" hidden="false" customHeight="false" outlineLevel="0" collapsed="false">
      <c r="A8" s="0" t="n">
        <v>2</v>
      </c>
      <c r="B8" s="0" t="s">
        <v>50</v>
      </c>
      <c r="C8" s="0" t="n">
        <v>27</v>
      </c>
      <c r="D8" s="0" t="n">
        <v>29</v>
      </c>
      <c r="E8" s="0" t="n">
        <v>7</v>
      </c>
      <c r="F8" s="0" t="n">
        <v>29</v>
      </c>
      <c r="G8" s="0" t="n">
        <v>4</v>
      </c>
      <c r="H8" s="14" t="n">
        <v>5.263157895</v>
      </c>
    </row>
    <row r="9" customFormat="false" ht="13.8" hidden="false" customHeight="false" outlineLevel="0" collapsed="false">
      <c r="A9" s="0" t="n">
        <v>2</v>
      </c>
      <c r="B9" s="0" t="s">
        <v>51</v>
      </c>
      <c r="C9" s="0" t="n">
        <v>20</v>
      </c>
      <c r="D9" s="0" t="n">
        <v>20</v>
      </c>
      <c r="E9" s="0" t="n">
        <v>3</v>
      </c>
      <c r="F9" s="0" t="n">
        <v>18</v>
      </c>
      <c r="G9" s="0" t="n">
        <v>6</v>
      </c>
      <c r="H9" s="14" t="n">
        <v>5.105263158</v>
      </c>
    </row>
    <row r="10" customFormat="false" ht="13.8" hidden="false" customHeight="false" outlineLevel="0" collapsed="false">
      <c r="A10" s="36" t="n">
        <v>3</v>
      </c>
      <c r="B10" s="36" t="s">
        <v>48</v>
      </c>
      <c r="C10" s="36" t="n">
        <v>31</v>
      </c>
      <c r="D10" s="36" t="n">
        <v>34</v>
      </c>
      <c r="E10" s="36" t="n">
        <v>1</v>
      </c>
      <c r="F10" s="36" t="n">
        <v>28</v>
      </c>
      <c r="G10" s="36" t="n">
        <v>4</v>
      </c>
      <c r="H10" s="37" t="n">
        <v>5.473684211</v>
      </c>
    </row>
    <row r="11" customFormat="false" ht="13.8" hidden="false" customHeight="false" outlineLevel="0" collapsed="false">
      <c r="A11" s="36" t="n">
        <v>3</v>
      </c>
      <c r="B11" s="36" t="s">
        <v>49</v>
      </c>
      <c r="C11" s="36" t="n">
        <v>26</v>
      </c>
      <c r="D11" s="36" t="n">
        <v>28</v>
      </c>
      <c r="E11" s="36" t="n">
        <v>3</v>
      </c>
      <c r="F11" s="36" t="n">
        <v>29</v>
      </c>
      <c r="G11" s="36" t="n">
        <v>6</v>
      </c>
      <c r="H11" s="37" t="n">
        <v>5.947368421</v>
      </c>
    </row>
    <row r="12" customFormat="false" ht="13.8" hidden="false" customHeight="false" outlineLevel="0" collapsed="false">
      <c r="A12" s="36" t="n">
        <v>3</v>
      </c>
      <c r="B12" s="36" t="s">
        <v>50</v>
      </c>
      <c r="C12" s="36" t="n">
        <v>30</v>
      </c>
      <c r="D12" s="36" t="n">
        <v>32</v>
      </c>
      <c r="E12" s="36" t="n">
        <v>1</v>
      </c>
      <c r="F12" s="36" t="n">
        <v>26</v>
      </c>
      <c r="G12" s="36" t="n">
        <v>2</v>
      </c>
      <c r="H12" s="37" t="n">
        <v>6.315789474</v>
      </c>
    </row>
    <row r="13" customFormat="false" ht="13.8" hidden="false" customHeight="false" outlineLevel="0" collapsed="false">
      <c r="A13" s="36" t="n">
        <v>3</v>
      </c>
      <c r="B13" s="36" t="s">
        <v>51</v>
      </c>
      <c r="C13" s="36" t="n">
        <v>35</v>
      </c>
      <c r="D13" s="36" t="n">
        <v>37</v>
      </c>
      <c r="E13" s="36" t="n">
        <v>1</v>
      </c>
      <c r="F13" s="36" t="n">
        <v>32</v>
      </c>
      <c r="G13" s="36" t="n">
        <v>2</v>
      </c>
      <c r="H13" s="37" t="n">
        <v>6.105263158</v>
      </c>
    </row>
    <row r="14" customFormat="false" ht="13.8" hidden="false" customHeight="false" outlineLevel="0" collapsed="false">
      <c r="A14" s="0" t="n">
        <v>6</v>
      </c>
      <c r="B14" s="0" t="s">
        <v>48</v>
      </c>
      <c r="C14" s="0" t="n">
        <v>43</v>
      </c>
      <c r="D14" s="0" t="n">
        <v>46</v>
      </c>
      <c r="E14" s="0" t="n">
        <v>12</v>
      </c>
      <c r="F14" s="0" t="n">
        <v>40</v>
      </c>
      <c r="G14" s="0" t="n">
        <v>2</v>
      </c>
      <c r="H14" s="14" t="n">
        <v>4.052631579</v>
      </c>
    </row>
    <row r="15" customFormat="false" ht="13.8" hidden="false" customHeight="false" outlineLevel="0" collapsed="false">
      <c r="A15" s="0" t="n">
        <v>6</v>
      </c>
      <c r="B15" s="0" t="s">
        <v>49</v>
      </c>
      <c r="C15" s="0" t="n">
        <v>31</v>
      </c>
      <c r="D15" s="0" t="n">
        <v>35</v>
      </c>
      <c r="E15" s="0" t="n">
        <v>9</v>
      </c>
      <c r="F15" s="0" t="n">
        <v>41</v>
      </c>
      <c r="G15" s="0" t="n">
        <v>4</v>
      </c>
      <c r="H15" s="14" t="n">
        <v>4.736842105</v>
      </c>
    </row>
    <row r="16" customFormat="false" ht="13.8" hidden="false" customHeight="false" outlineLevel="0" collapsed="false">
      <c r="A16" s="0" t="n">
        <v>6</v>
      </c>
      <c r="B16" s="0" t="s">
        <v>50</v>
      </c>
      <c r="C16" s="0" t="n">
        <v>41</v>
      </c>
      <c r="D16" s="0" t="n">
        <v>45</v>
      </c>
      <c r="E16" s="0" t="n">
        <v>7</v>
      </c>
      <c r="F16" s="0" t="n">
        <v>52</v>
      </c>
      <c r="G16" s="0" t="n">
        <v>4</v>
      </c>
      <c r="H16" s="14" t="n">
        <v>5.263157895</v>
      </c>
    </row>
    <row r="17" customFormat="false" ht="13.8" hidden="false" customHeight="false" outlineLevel="0" collapsed="false">
      <c r="A17" s="0" t="n">
        <v>6</v>
      </c>
      <c r="B17" s="0" t="s">
        <v>51</v>
      </c>
      <c r="C17" s="0" t="n">
        <v>38</v>
      </c>
      <c r="D17" s="0" t="n">
        <v>41</v>
      </c>
      <c r="E17" s="0" t="n">
        <v>3</v>
      </c>
      <c r="F17" s="0" t="n">
        <v>46</v>
      </c>
      <c r="G17" s="0" t="n">
        <v>4</v>
      </c>
      <c r="H17" s="14" t="n">
        <v>5.368421053</v>
      </c>
    </row>
    <row r="18" customFormat="false" ht="13.8" hidden="false" customHeight="false" outlineLevel="0" collapsed="false">
      <c r="A18" s="36" t="n">
        <v>7</v>
      </c>
      <c r="B18" s="36" t="s">
        <v>48</v>
      </c>
      <c r="C18" s="36" t="n">
        <v>29</v>
      </c>
      <c r="D18" s="36" t="n">
        <v>32</v>
      </c>
      <c r="E18" s="36" t="n">
        <v>9</v>
      </c>
      <c r="F18" s="36" t="n">
        <v>41</v>
      </c>
      <c r="G18" s="36" t="n">
        <v>4</v>
      </c>
      <c r="H18" s="37" t="n">
        <v>6.368421053</v>
      </c>
    </row>
    <row r="19" customFormat="false" ht="13.8" hidden="false" customHeight="false" outlineLevel="0" collapsed="false">
      <c r="A19" s="36" t="n">
        <v>7</v>
      </c>
      <c r="B19" s="36" t="s">
        <v>49</v>
      </c>
      <c r="C19" s="36" t="n">
        <v>43</v>
      </c>
      <c r="D19" s="36" t="n">
        <v>45</v>
      </c>
      <c r="E19" s="36" t="n">
        <v>7</v>
      </c>
      <c r="F19" s="36" t="n">
        <v>42</v>
      </c>
      <c r="G19" s="36" t="n">
        <v>2</v>
      </c>
      <c r="H19" s="37" t="n">
        <v>6.368421053</v>
      </c>
    </row>
    <row r="20" customFormat="false" ht="13.8" hidden="false" customHeight="false" outlineLevel="0" collapsed="false">
      <c r="A20" s="36" t="n">
        <v>7</v>
      </c>
      <c r="B20" s="36" t="s">
        <v>50</v>
      </c>
      <c r="C20" s="36" t="n">
        <v>34</v>
      </c>
      <c r="D20" s="36" t="n">
        <v>38</v>
      </c>
      <c r="E20" s="36" t="n">
        <v>10</v>
      </c>
      <c r="F20" s="36" t="n">
        <v>41</v>
      </c>
      <c r="G20" s="36" t="n">
        <v>4</v>
      </c>
      <c r="H20" s="37" t="n">
        <v>7</v>
      </c>
    </row>
    <row r="21" customFormat="false" ht="13.8" hidden="false" customHeight="false" outlineLevel="0" collapsed="false">
      <c r="A21" s="36" t="n">
        <v>7</v>
      </c>
      <c r="B21" s="36" t="s">
        <v>51</v>
      </c>
      <c r="C21" s="36" t="n">
        <v>50</v>
      </c>
      <c r="D21" s="36" t="n">
        <v>52</v>
      </c>
      <c r="E21" s="36" t="n">
        <v>11</v>
      </c>
      <c r="F21" s="36" t="n">
        <v>47</v>
      </c>
      <c r="G21" s="36" t="n">
        <v>2</v>
      </c>
      <c r="H21" s="37" t="n">
        <v>6.263157895</v>
      </c>
    </row>
    <row r="22" customFormat="false" ht="13.8" hidden="false" customHeight="false" outlineLevel="0" collapsed="false">
      <c r="A22" s="0" t="n">
        <v>8</v>
      </c>
      <c r="B22" s="0" t="s">
        <v>48</v>
      </c>
      <c r="C22" s="0" t="n">
        <v>36</v>
      </c>
      <c r="D22" s="0" t="n">
        <v>40</v>
      </c>
      <c r="E22" s="0" t="n">
        <v>1</v>
      </c>
      <c r="F22" s="0" t="n">
        <v>40</v>
      </c>
      <c r="G22" s="0" t="n">
        <v>4</v>
      </c>
      <c r="H22" s="14" t="n">
        <v>6.263157895</v>
      </c>
    </row>
    <row r="23" customFormat="false" ht="13.8" hidden="false" customHeight="false" outlineLevel="0" collapsed="false">
      <c r="A23" s="0" t="n">
        <v>8</v>
      </c>
      <c r="B23" s="0" t="s">
        <v>49</v>
      </c>
      <c r="C23" s="0" t="n">
        <v>35</v>
      </c>
      <c r="D23" s="0" t="n">
        <v>38</v>
      </c>
      <c r="E23" s="0" t="n">
        <v>1</v>
      </c>
      <c r="F23" s="0" t="n">
        <v>41</v>
      </c>
      <c r="G23" s="0" t="n">
        <v>2</v>
      </c>
      <c r="H23" s="14" t="n">
        <v>6.157894737</v>
      </c>
    </row>
    <row r="24" customFormat="false" ht="13.8" hidden="false" customHeight="false" outlineLevel="0" collapsed="false">
      <c r="A24" s="0" t="n">
        <v>8</v>
      </c>
      <c r="B24" s="0" t="s">
        <v>50</v>
      </c>
      <c r="C24" s="0" t="n">
        <v>37</v>
      </c>
      <c r="D24" s="0" t="n">
        <v>39</v>
      </c>
      <c r="E24" s="0" t="n">
        <v>1</v>
      </c>
      <c r="F24" s="0" t="n">
        <v>40</v>
      </c>
      <c r="G24" s="0" t="n">
        <v>2</v>
      </c>
      <c r="H24" s="14" t="n">
        <v>6.157894737</v>
      </c>
    </row>
    <row r="25" customFormat="false" ht="13.8" hidden="false" customHeight="false" outlineLevel="0" collapsed="false">
      <c r="A25" s="0" t="n">
        <v>8</v>
      </c>
      <c r="B25" s="0" t="s">
        <v>51</v>
      </c>
      <c r="C25" s="0" t="n">
        <v>18</v>
      </c>
      <c r="D25" s="0" t="n">
        <v>20</v>
      </c>
      <c r="E25" s="0" t="n">
        <v>1</v>
      </c>
      <c r="F25" s="0" t="n">
        <v>22</v>
      </c>
      <c r="G25" s="0" t="n">
        <v>6</v>
      </c>
      <c r="H25" s="14" t="n">
        <v>5.526315789</v>
      </c>
    </row>
    <row r="26" customFormat="false" ht="13.8" hidden="false" customHeight="false" outlineLevel="0" collapsed="false">
      <c r="A26" s="36" t="n">
        <v>9</v>
      </c>
      <c r="B26" s="36" t="s">
        <v>48</v>
      </c>
      <c r="C26" s="36" t="n">
        <v>29</v>
      </c>
      <c r="D26" s="36" t="n">
        <v>31</v>
      </c>
      <c r="E26" s="36" t="n">
        <v>4</v>
      </c>
      <c r="F26" s="36" t="n">
        <v>35</v>
      </c>
      <c r="G26" s="36" t="n">
        <v>4</v>
      </c>
      <c r="H26" s="37" t="n">
        <v>6.210526316</v>
      </c>
    </row>
    <row r="27" customFormat="false" ht="13.8" hidden="false" customHeight="false" outlineLevel="0" collapsed="false">
      <c r="A27" s="36" t="n">
        <v>9</v>
      </c>
      <c r="B27" s="36" t="s">
        <v>49</v>
      </c>
      <c r="C27" s="36" t="n">
        <v>26</v>
      </c>
      <c r="D27" s="36" t="n">
        <v>26</v>
      </c>
      <c r="E27" s="36" t="n">
        <v>5</v>
      </c>
      <c r="F27" s="36" t="n">
        <v>27</v>
      </c>
      <c r="G27" s="36" t="n">
        <v>4</v>
      </c>
      <c r="H27" s="37" t="n">
        <v>6.368421053</v>
      </c>
    </row>
    <row r="28" customFormat="false" ht="13.8" hidden="false" customHeight="false" outlineLevel="0" collapsed="false">
      <c r="A28" s="36" t="n">
        <v>9</v>
      </c>
      <c r="B28" s="36" t="s">
        <v>50</v>
      </c>
      <c r="C28" s="36" t="n">
        <v>32</v>
      </c>
      <c r="D28" s="36" t="n">
        <v>34</v>
      </c>
      <c r="E28" s="36" t="n">
        <v>6</v>
      </c>
      <c r="F28" s="36" t="n">
        <v>34</v>
      </c>
      <c r="G28" s="36" t="n">
        <v>2</v>
      </c>
      <c r="H28" s="37" t="n">
        <v>6.578947368</v>
      </c>
    </row>
    <row r="29" customFormat="false" ht="13.8" hidden="false" customHeight="false" outlineLevel="0" collapsed="false">
      <c r="A29" s="36" t="n">
        <v>9</v>
      </c>
      <c r="B29" s="36" t="s">
        <v>51</v>
      </c>
      <c r="C29" s="36" t="n">
        <v>24</v>
      </c>
      <c r="D29" s="36" t="n">
        <v>27</v>
      </c>
      <c r="E29" s="36" t="n">
        <v>13</v>
      </c>
      <c r="F29" s="36" t="n">
        <v>48</v>
      </c>
      <c r="G29" s="36" t="n">
        <v>6</v>
      </c>
      <c r="H29" s="37" t="n">
        <v>6.263157895</v>
      </c>
    </row>
    <row r="30" customFormat="false" ht="13.8" hidden="false" customHeight="false" outlineLevel="0" collapsed="false">
      <c r="A30" s="0" t="n">
        <v>10</v>
      </c>
      <c r="B30" s="0" t="s">
        <v>48</v>
      </c>
      <c r="C30" s="0" t="n">
        <v>36</v>
      </c>
      <c r="D30" s="0" t="n">
        <v>39</v>
      </c>
      <c r="E30" s="0" t="n">
        <v>0</v>
      </c>
      <c r="F30" s="0" t="n">
        <v>31</v>
      </c>
      <c r="G30" s="0" t="n">
        <v>2</v>
      </c>
      <c r="H30" s="14" t="n">
        <v>5.263157895</v>
      </c>
    </row>
    <row r="31" customFormat="false" ht="13.8" hidden="false" customHeight="false" outlineLevel="0" collapsed="false">
      <c r="A31" s="0" t="n">
        <v>10</v>
      </c>
      <c r="B31" s="0" t="s">
        <v>49</v>
      </c>
      <c r="C31" s="0" t="n">
        <v>51</v>
      </c>
      <c r="D31" s="0" t="n">
        <v>54</v>
      </c>
      <c r="E31" s="0" t="n">
        <v>3</v>
      </c>
      <c r="F31" s="0" t="n">
        <v>46</v>
      </c>
      <c r="G31" s="0" t="n">
        <v>2</v>
      </c>
      <c r="H31" s="14" t="n">
        <v>5.368421053</v>
      </c>
    </row>
    <row r="32" customFormat="false" ht="13.8" hidden="false" customHeight="false" outlineLevel="0" collapsed="false">
      <c r="A32" s="0" t="n">
        <v>10</v>
      </c>
      <c r="B32" s="0" t="s">
        <v>50</v>
      </c>
      <c r="C32" s="0" t="n">
        <v>39</v>
      </c>
      <c r="D32" s="0" t="n">
        <v>41</v>
      </c>
      <c r="E32" s="0" t="n">
        <v>1</v>
      </c>
      <c r="F32" s="0" t="n">
        <v>39</v>
      </c>
      <c r="G32" s="0" t="n">
        <v>4</v>
      </c>
      <c r="H32" s="14" t="n">
        <v>5.421052632</v>
      </c>
    </row>
    <row r="33" customFormat="false" ht="13.8" hidden="false" customHeight="false" outlineLevel="0" collapsed="false">
      <c r="A33" s="0" t="n">
        <v>10</v>
      </c>
      <c r="B33" s="0" t="s">
        <v>51</v>
      </c>
      <c r="C33" s="0" t="n">
        <v>25</v>
      </c>
      <c r="D33" s="0" t="n">
        <v>29</v>
      </c>
      <c r="E33" s="0" t="n">
        <v>2</v>
      </c>
      <c r="F33" s="0" t="n">
        <v>27</v>
      </c>
      <c r="G33" s="0" t="n">
        <v>6</v>
      </c>
      <c r="H33" s="14" t="n">
        <v>5.631578947</v>
      </c>
    </row>
    <row r="34" customFormat="false" ht="13.8" hidden="false" customHeight="false" outlineLevel="0" collapsed="false">
      <c r="A34" s="36" t="n">
        <v>11</v>
      </c>
      <c r="B34" s="36" t="s">
        <v>48</v>
      </c>
      <c r="C34" s="36" t="n">
        <v>43</v>
      </c>
      <c r="D34" s="36" t="n">
        <v>46</v>
      </c>
      <c r="E34" s="36" t="n">
        <v>2</v>
      </c>
      <c r="F34" s="36" t="n">
        <v>32</v>
      </c>
      <c r="G34" s="36" t="n">
        <v>2</v>
      </c>
      <c r="H34" s="37" t="n">
        <v>5.473684211</v>
      </c>
    </row>
    <row r="35" customFormat="false" ht="13.8" hidden="false" customHeight="false" outlineLevel="0" collapsed="false">
      <c r="A35" s="36" t="n">
        <v>11</v>
      </c>
      <c r="B35" s="36" t="s">
        <v>49</v>
      </c>
      <c r="C35" s="36" t="n">
        <v>43</v>
      </c>
      <c r="D35" s="36" t="n">
        <v>46</v>
      </c>
      <c r="E35" s="36" t="n">
        <v>1</v>
      </c>
      <c r="F35" s="36" t="n">
        <v>42</v>
      </c>
      <c r="G35" s="36" t="n">
        <v>2</v>
      </c>
      <c r="H35" s="37" t="n">
        <v>5.526315789</v>
      </c>
    </row>
    <row r="36" customFormat="false" ht="13.8" hidden="false" customHeight="false" outlineLevel="0" collapsed="false">
      <c r="A36" s="36" t="n">
        <v>11</v>
      </c>
      <c r="B36" s="36" t="s">
        <v>50</v>
      </c>
      <c r="C36" s="36" t="n">
        <v>36</v>
      </c>
      <c r="D36" s="36" t="n">
        <v>40</v>
      </c>
      <c r="E36" s="36" t="n">
        <v>0</v>
      </c>
      <c r="F36" s="36" t="n">
        <v>30</v>
      </c>
      <c r="G36" s="36" t="n">
        <v>4</v>
      </c>
      <c r="H36" s="37" t="n">
        <v>5.736842105</v>
      </c>
    </row>
    <row r="37" customFormat="false" ht="13.8" hidden="false" customHeight="false" outlineLevel="0" collapsed="false">
      <c r="A37" s="36" t="n">
        <v>11</v>
      </c>
      <c r="B37" s="36" t="s">
        <v>51</v>
      </c>
      <c r="C37" s="36" t="n">
        <v>40</v>
      </c>
      <c r="D37" s="36" t="n">
        <v>42</v>
      </c>
      <c r="E37" s="36" t="n">
        <v>5</v>
      </c>
      <c r="F37" s="36" t="n">
        <v>44</v>
      </c>
      <c r="G37" s="36" t="n">
        <v>2</v>
      </c>
      <c r="H37" s="37" t="n">
        <v>6.157894737</v>
      </c>
    </row>
    <row r="38" customFormat="false" ht="13.8" hidden="false" customHeight="false" outlineLevel="0" collapsed="false">
      <c r="A38" s="0" t="n">
        <v>12</v>
      </c>
      <c r="B38" s="0" t="s">
        <v>48</v>
      </c>
      <c r="C38" s="0" t="n">
        <v>32</v>
      </c>
      <c r="D38" s="0" t="n">
        <v>36</v>
      </c>
      <c r="E38" s="0" t="n">
        <v>1</v>
      </c>
      <c r="F38" s="0" t="n">
        <v>40</v>
      </c>
      <c r="G38" s="0" t="n">
        <v>4</v>
      </c>
      <c r="H38" s="14" t="n">
        <v>6.105263158</v>
      </c>
    </row>
    <row r="39" customFormat="false" ht="13.8" hidden="false" customHeight="false" outlineLevel="0" collapsed="false">
      <c r="A39" s="0" t="n">
        <v>12</v>
      </c>
      <c r="B39" s="0" t="s">
        <v>49</v>
      </c>
      <c r="C39" s="0" t="n">
        <v>39</v>
      </c>
      <c r="D39" s="0" t="n">
        <v>41</v>
      </c>
      <c r="E39" s="0" t="n">
        <v>3</v>
      </c>
      <c r="F39" s="0" t="n">
        <v>48</v>
      </c>
      <c r="G39" s="0" t="n">
        <v>2</v>
      </c>
      <c r="H39" s="14" t="n">
        <v>6.157894737</v>
      </c>
    </row>
    <row r="40" customFormat="false" ht="13.8" hidden="false" customHeight="false" outlineLevel="0" collapsed="false">
      <c r="A40" s="0" t="n">
        <v>12</v>
      </c>
      <c r="B40" s="0" t="s">
        <v>50</v>
      </c>
      <c r="C40" s="0" t="n">
        <v>33</v>
      </c>
      <c r="D40" s="0" t="n">
        <v>36</v>
      </c>
      <c r="E40" s="0" t="n">
        <v>2</v>
      </c>
      <c r="F40" s="0" t="n">
        <v>39</v>
      </c>
      <c r="G40" s="0" t="n">
        <v>4</v>
      </c>
      <c r="H40" s="14" t="n">
        <v>6.210526316</v>
      </c>
    </row>
    <row r="41" customFormat="false" ht="13.8" hidden="false" customHeight="false" outlineLevel="0" collapsed="false">
      <c r="A41" s="0" t="n">
        <v>12</v>
      </c>
      <c r="B41" s="0" t="s">
        <v>51</v>
      </c>
      <c r="C41" s="0" t="n">
        <v>42</v>
      </c>
      <c r="D41" s="0" t="n">
        <v>44</v>
      </c>
      <c r="E41" s="0" t="n">
        <v>0</v>
      </c>
      <c r="F41" s="0" t="n">
        <v>45</v>
      </c>
      <c r="G41" s="0" t="n">
        <v>4</v>
      </c>
      <c r="H41" s="14" t="n">
        <v>6.368421053</v>
      </c>
    </row>
    <row r="42" customFormat="false" ht="13.8" hidden="false" customHeight="false" outlineLevel="0" collapsed="false">
      <c r="A42" s="36" t="n">
        <v>13</v>
      </c>
      <c r="B42" s="36" t="s">
        <v>48</v>
      </c>
      <c r="C42" s="36" t="n">
        <v>18</v>
      </c>
      <c r="D42" s="36" t="n">
        <v>19</v>
      </c>
      <c r="E42" s="36" t="n">
        <v>11</v>
      </c>
      <c r="F42" s="36" t="n">
        <v>38</v>
      </c>
      <c r="G42" s="36" t="n">
        <v>8</v>
      </c>
      <c r="H42" s="37" t="n">
        <v>6.473684211</v>
      </c>
    </row>
    <row r="43" customFormat="false" ht="13.8" hidden="false" customHeight="false" outlineLevel="0" collapsed="false">
      <c r="A43" s="36" t="n">
        <v>13</v>
      </c>
      <c r="B43" s="36" t="s">
        <v>49</v>
      </c>
      <c r="C43" s="36" t="n">
        <v>17</v>
      </c>
      <c r="D43" s="36" t="n">
        <v>20</v>
      </c>
      <c r="E43" s="36" t="n">
        <v>17</v>
      </c>
      <c r="F43" s="36" t="n">
        <v>82</v>
      </c>
      <c r="G43" s="36" t="n">
        <v>8</v>
      </c>
      <c r="H43" s="37" t="n">
        <v>6</v>
      </c>
    </row>
    <row r="44" customFormat="false" ht="13.8" hidden="false" customHeight="false" outlineLevel="0" collapsed="false">
      <c r="A44" s="36" t="n">
        <v>13</v>
      </c>
      <c r="B44" s="36" t="s">
        <v>50</v>
      </c>
      <c r="C44" s="36" t="n">
        <v>18</v>
      </c>
      <c r="D44" s="36" t="n">
        <v>17</v>
      </c>
      <c r="E44" s="36" t="n">
        <v>14</v>
      </c>
      <c r="F44" s="36" t="n">
        <v>88</v>
      </c>
      <c r="G44" s="36" t="n">
        <v>10</v>
      </c>
      <c r="H44" s="37" t="n">
        <v>6.736842105</v>
      </c>
    </row>
    <row r="45" customFormat="false" ht="13.8" hidden="false" customHeight="false" outlineLevel="0" collapsed="false">
      <c r="A45" s="36" t="n">
        <v>13</v>
      </c>
      <c r="B45" s="36" t="s">
        <v>51</v>
      </c>
      <c r="C45" s="36" t="n">
        <v>12</v>
      </c>
      <c r="D45" s="36" t="n">
        <v>9</v>
      </c>
      <c r="E45" s="36" t="n">
        <v>14</v>
      </c>
      <c r="F45" s="36" t="n">
        <v>102</v>
      </c>
      <c r="G45" s="36" t="n">
        <v>16</v>
      </c>
      <c r="H45" s="37" t="n">
        <v>6.421052632</v>
      </c>
    </row>
    <row r="46" customFormat="false" ht="13.8" hidden="false" customHeight="false" outlineLevel="0" collapsed="false">
      <c r="A46" s="0" t="n">
        <v>14</v>
      </c>
      <c r="B46" s="0" t="s">
        <v>48</v>
      </c>
      <c r="C46" s="0" t="n">
        <v>25</v>
      </c>
      <c r="D46" s="0" t="n">
        <v>26</v>
      </c>
      <c r="E46" s="0" t="n">
        <v>16</v>
      </c>
      <c r="F46" s="0" t="n">
        <v>68</v>
      </c>
      <c r="G46" s="0" t="n">
        <v>6</v>
      </c>
      <c r="H46" s="14" t="n">
        <v>5.368421053</v>
      </c>
    </row>
    <row r="47" customFormat="false" ht="13.8" hidden="false" customHeight="false" outlineLevel="0" collapsed="false">
      <c r="A47" s="0" t="n">
        <v>14</v>
      </c>
      <c r="B47" s="0" t="s">
        <v>49</v>
      </c>
      <c r="C47" s="0" t="n">
        <v>24</v>
      </c>
      <c r="D47" s="0" t="n">
        <v>27</v>
      </c>
      <c r="E47" s="0" t="n">
        <v>42</v>
      </c>
      <c r="F47" s="0" t="n">
        <v>86</v>
      </c>
      <c r="G47" s="0" t="n">
        <v>4</v>
      </c>
      <c r="H47" s="14" t="n">
        <v>5.315789474</v>
      </c>
    </row>
    <row r="48" customFormat="false" ht="13.8" hidden="false" customHeight="false" outlineLevel="0" collapsed="false">
      <c r="A48" s="0" t="n">
        <v>14</v>
      </c>
      <c r="B48" s="0" t="s">
        <v>50</v>
      </c>
      <c r="C48" s="0" t="n">
        <v>16</v>
      </c>
      <c r="D48" s="0" t="n">
        <v>17</v>
      </c>
      <c r="E48" s="0" t="n">
        <v>23</v>
      </c>
      <c r="F48" s="0" t="n">
        <v>47</v>
      </c>
      <c r="G48" s="0" t="n">
        <v>10</v>
      </c>
      <c r="H48" s="14" t="n">
        <v>6.210526316</v>
      </c>
    </row>
    <row r="49" customFormat="false" ht="13.8" hidden="false" customHeight="false" outlineLevel="0" collapsed="false">
      <c r="A49" s="0" t="n">
        <v>14</v>
      </c>
      <c r="B49" s="0" t="s">
        <v>51</v>
      </c>
      <c r="C49" s="0" t="n">
        <v>23</v>
      </c>
      <c r="D49" s="0" t="n">
        <v>26</v>
      </c>
      <c r="E49" s="0" t="n">
        <v>31</v>
      </c>
      <c r="F49" s="0" t="n">
        <v>53</v>
      </c>
      <c r="G49" s="0" t="n">
        <v>4</v>
      </c>
      <c r="H49" s="14" t="n">
        <v>6.210526316</v>
      </c>
    </row>
    <row r="50" customFormat="false" ht="13.8" hidden="false" customHeight="false" outlineLevel="0" collapsed="false">
      <c r="A50" s="36" t="n">
        <v>15</v>
      </c>
      <c r="B50" s="36" t="s">
        <v>48</v>
      </c>
      <c r="C50" s="36" t="n">
        <v>34</v>
      </c>
      <c r="D50" s="36" t="n">
        <v>37</v>
      </c>
      <c r="E50" s="36" t="n">
        <v>2</v>
      </c>
      <c r="F50" s="36" t="n">
        <v>38</v>
      </c>
      <c r="G50" s="36" t="n">
        <v>4</v>
      </c>
      <c r="H50" s="37" t="n">
        <v>5.842105263</v>
      </c>
    </row>
    <row r="51" customFormat="false" ht="13.8" hidden="false" customHeight="false" outlineLevel="0" collapsed="false">
      <c r="A51" s="36" t="n">
        <v>15</v>
      </c>
      <c r="B51" s="36" t="s">
        <v>49</v>
      </c>
      <c r="C51" s="36" t="n">
        <v>29</v>
      </c>
      <c r="D51" s="36" t="n">
        <v>32</v>
      </c>
      <c r="E51" s="36" t="n">
        <v>0</v>
      </c>
      <c r="F51" s="36" t="n">
        <v>29</v>
      </c>
      <c r="G51" s="36" t="n">
        <v>4</v>
      </c>
      <c r="H51" s="37" t="n">
        <v>6.157894737</v>
      </c>
    </row>
    <row r="52" customFormat="false" ht="13.8" hidden="false" customHeight="false" outlineLevel="0" collapsed="false">
      <c r="A52" s="36" t="n">
        <v>15</v>
      </c>
      <c r="B52" s="36" t="s">
        <v>50</v>
      </c>
      <c r="C52" s="36" t="n">
        <v>29</v>
      </c>
      <c r="D52" s="36" t="n">
        <v>33</v>
      </c>
      <c r="E52" s="36" t="n">
        <v>4</v>
      </c>
      <c r="F52" s="36" t="n">
        <v>32</v>
      </c>
      <c r="G52" s="36" t="n">
        <v>4</v>
      </c>
      <c r="H52" s="37" t="n">
        <v>6.157894737</v>
      </c>
    </row>
    <row r="53" customFormat="false" ht="13.8" hidden="false" customHeight="false" outlineLevel="0" collapsed="false">
      <c r="A53" s="36" t="n">
        <v>15</v>
      </c>
      <c r="B53" s="36" t="s">
        <v>51</v>
      </c>
      <c r="C53" s="36" t="n">
        <v>29</v>
      </c>
      <c r="D53" s="36" t="n">
        <v>33</v>
      </c>
      <c r="E53" s="36" t="n">
        <v>8</v>
      </c>
      <c r="F53" s="36" t="n">
        <v>23</v>
      </c>
      <c r="G53" s="36" t="n">
        <v>4</v>
      </c>
      <c r="H53" s="37" t="n">
        <v>6.368421053</v>
      </c>
    </row>
    <row r="54" customFormat="false" ht="13.8" hidden="false" customHeight="false" outlineLevel="0" collapsed="false">
      <c r="A54" s="0" t="n">
        <v>16</v>
      </c>
      <c r="B54" s="0" t="s">
        <v>48</v>
      </c>
      <c r="C54" s="0" t="n">
        <v>22</v>
      </c>
      <c r="D54" s="0" t="n">
        <v>24</v>
      </c>
      <c r="E54" s="0" t="n">
        <v>3</v>
      </c>
      <c r="F54" s="0" t="n">
        <v>57</v>
      </c>
      <c r="G54" s="0" t="n">
        <v>4</v>
      </c>
      <c r="H54" s="14" t="n">
        <v>6.157894737</v>
      </c>
    </row>
    <row r="55" customFormat="false" ht="13.8" hidden="false" customHeight="false" outlineLevel="0" collapsed="false">
      <c r="A55" s="0" t="n">
        <v>16</v>
      </c>
      <c r="B55" s="0" t="s">
        <v>49</v>
      </c>
      <c r="C55" s="0" t="n">
        <v>20</v>
      </c>
      <c r="D55" s="0" t="n">
        <v>23</v>
      </c>
      <c r="E55" s="0" t="n">
        <v>6</v>
      </c>
      <c r="F55" s="0" t="n">
        <v>34</v>
      </c>
      <c r="G55" s="0" t="n">
        <v>4</v>
      </c>
      <c r="H55" s="14" t="n">
        <v>5.947368421</v>
      </c>
    </row>
    <row r="56" customFormat="false" ht="13.8" hidden="false" customHeight="false" outlineLevel="0" collapsed="false">
      <c r="A56" s="0" t="n">
        <v>16</v>
      </c>
      <c r="B56" s="0" t="s">
        <v>50</v>
      </c>
      <c r="C56" s="0" t="n">
        <v>35</v>
      </c>
      <c r="D56" s="0" t="n">
        <v>38</v>
      </c>
      <c r="E56" s="0" t="n">
        <v>3</v>
      </c>
      <c r="F56" s="0" t="n">
        <v>50</v>
      </c>
      <c r="G56" s="0" t="n">
        <v>4</v>
      </c>
      <c r="H56" s="14" t="n">
        <v>6.631578947</v>
      </c>
    </row>
    <row r="57" customFormat="false" ht="13.8" hidden="false" customHeight="false" outlineLevel="0" collapsed="false">
      <c r="A57" s="0" t="n">
        <v>16</v>
      </c>
      <c r="B57" s="0" t="s">
        <v>51</v>
      </c>
      <c r="C57" s="0" t="n">
        <v>28</v>
      </c>
      <c r="D57" s="0" t="n">
        <v>32</v>
      </c>
      <c r="E57" s="0" t="n">
        <v>2</v>
      </c>
      <c r="F57" s="0" t="n">
        <v>40</v>
      </c>
      <c r="G57" s="0" t="n">
        <v>4</v>
      </c>
      <c r="H57" s="14" t="n">
        <v>6.736842105</v>
      </c>
    </row>
    <row r="58" customFormat="false" ht="13.8" hidden="false" customHeight="false" outlineLevel="0" collapsed="false">
      <c r="A58" s="36" t="n">
        <v>17</v>
      </c>
      <c r="B58" s="36" t="s">
        <v>48</v>
      </c>
      <c r="C58" s="36" t="n">
        <v>32</v>
      </c>
      <c r="D58" s="36" t="n">
        <v>35</v>
      </c>
      <c r="E58" s="36" t="n">
        <v>4</v>
      </c>
      <c r="F58" s="36" t="n">
        <v>47</v>
      </c>
      <c r="G58" s="36" t="n">
        <v>4</v>
      </c>
      <c r="H58" s="37" t="n">
        <v>5</v>
      </c>
    </row>
    <row r="59" customFormat="false" ht="13.8" hidden="false" customHeight="false" outlineLevel="0" collapsed="false">
      <c r="A59" s="36" t="n">
        <v>17</v>
      </c>
      <c r="B59" s="36" t="s">
        <v>49</v>
      </c>
      <c r="C59" s="36" t="n">
        <v>37</v>
      </c>
      <c r="D59" s="36" t="n">
        <v>41</v>
      </c>
      <c r="E59" s="36" t="n">
        <v>3</v>
      </c>
      <c r="F59" s="36" t="n">
        <v>40</v>
      </c>
      <c r="G59" s="36" t="n">
        <v>4</v>
      </c>
      <c r="H59" s="37" t="n">
        <v>5.105263158</v>
      </c>
    </row>
    <row r="60" customFormat="false" ht="13.8" hidden="false" customHeight="false" outlineLevel="0" collapsed="false">
      <c r="A60" s="36" t="n">
        <v>17</v>
      </c>
      <c r="B60" s="36" t="s">
        <v>50</v>
      </c>
      <c r="C60" s="36" t="n">
        <v>28</v>
      </c>
      <c r="D60" s="36" t="n">
        <v>30</v>
      </c>
      <c r="E60" s="36" t="n">
        <v>9</v>
      </c>
      <c r="F60" s="36" t="n">
        <v>56</v>
      </c>
      <c r="G60" s="36" t="n">
        <v>2</v>
      </c>
      <c r="H60" s="37" t="n">
        <v>6.210526316</v>
      </c>
    </row>
    <row r="61" customFormat="false" ht="13.8" hidden="false" customHeight="false" outlineLevel="0" collapsed="false">
      <c r="A61" s="36" t="n">
        <v>17</v>
      </c>
      <c r="B61" s="36" t="s">
        <v>51</v>
      </c>
      <c r="C61" s="36" t="n">
        <v>30</v>
      </c>
      <c r="D61" s="36" t="n">
        <v>32</v>
      </c>
      <c r="E61" s="36" t="n">
        <v>23</v>
      </c>
      <c r="F61" s="36" t="n">
        <v>47</v>
      </c>
      <c r="G61" s="36" t="n">
        <v>2</v>
      </c>
      <c r="H61" s="37" t="n">
        <v>5.368421053</v>
      </c>
    </row>
    <row r="62" customFormat="false" ht="13.8" hidden="false" customHeight="false" outlineLevel="0" collapsed="false">
      <c r="A62" s="0" t="n">
        <v>18</v>
      </c>
      <c r="B62" s="0" t="s">
        <v>48</v>
      </c>
      <c r="C62" s="0" t="n">
        <v>17</v>
      </c>
      <c r="D62" s="0" t="n">
        <v>19</v>
      </c>
      <c r="E62" s="0" t="n">
        <v>22</v>
      </c>
      <c r="F62" s="0" t="n">
        <v>87</v>
      </c>
      <c r="G62" s="0" t="n">
        <v>8</v>
      </c>
      <c r="H62" s="14" t="n">
        <v>6.473684211</v>
      </c>
    </row>
    <row r="63" customFormat="false" ht="13.8" hidden="false" customHeight="false" outlineLevel="0" collapsed="false">
      <c r="A63" s="0" t="n">
        <v>18</v>
      </c>
      <c r="B63" s="0" t="s">
        <v>49</v>
      </c>
      <c r="C63" s="0" t="n">
        <v>22</v>
      </c>
      <c r="D63" s="0" t="n">
        <v>23</v>
      </c>
      <c r="E63" s="0" t="n">
        <v>30</v>
      </c>
      <c r="F63" s="0" t="n">
        <v>122</v>
      </c>
      <c r="G63" s="0" t="n">
        <v>6</v>
      </c>
      <c r="H63" s="14" t="n">
        <v>6.368421053</v>
      </c>
    </row>
    <row r="64" customFormat="false" ht="13.8" hidden="false" customHeight="false" outlineLevel="0" collapsed="false">
      <c r="A64" s="0" t="n">
        <v>18</v>
      </c>
      <c r="B64" s="0" t="s">
        <v>50</v>
      </c>
      <c r="C64" s="0" t="n">
        <v>21</v>
      </c>
      <c r="D64" s="0" t="n">
        <v>22</v>
      </c>
      <c r="E64" s="0" t="n">
        <v>4</v>
      </c>
      <c r="F64" s="0" t="n">
        <v>69</v>
      </c>
      <c r="G64" s="0" t="n">
        <v>6</v>
      </c>
      <c r="H64" s="14" t="n">
        <v>5.578947368</v>
      </c>
    </row>
    <row r="65" customFormat="false" ht="13.8" hidden="false" customHeight="false" outlineLevel="0" collapsed="false">
      <c r="A65" s="0" t="n">
        <v>18</v>
      </c>
      <c r="B65" s="0" t="s">
        <v>51</v>
      </c>
      <c r="C65" s="0" t="n">
        <v>27</v>
      </c>
      <c r="D65" s="0" t="n">
        <v>28</v>
      </c>
      <c r="E65" s="0" t="n">
        <v>10</v>
      </c>
      <c r="F65" s="0" t="n">
        <v>81</v>
      </c>
      <c r="G65" s="0" t="n">
        <v>2</v>
      </c>
      <c r="H65" s="14" t="n">
        <v>6.263157895</v>
      </c>
    </row>
    <row r="66" customFormat="false" ht="13.8" hidden="false" customHeight="false" outlineLevel="0" collapsed="false">
      <c r="H66" s="0"/>
    </row>
    <row r="67" customFormat="false" ht="13.8" hidden="false" customHeight="false" outlineLevel="0" collapsed="false">
      <c r="H67" s="0"/>
    </row>
    <row r="68" customFormat="false" ht="13.8" hidden="false" customHeight="false" outlineLevel="0" collapsed="false">
      <c r="H68" s="0"/>
    </row>
    <row r="69" customFormat="false" ht="13.8" hidden="false" customHeight="false" outlineLevel="0" collapsed="false">
      <c r="H69" s="0"/>
    </row>
    <row r="70" customFormat="false" ht="13.8" hidden="false" customHeight="false" outlineLevel="0" collapsed="false">
      <c r="H70" s="0"/>
    </row>
    <row r="71" customFormat="false" ht="13.8" hidden="false" customHeight="false" outlineLevel="0" collapsed="false">
      <c r="H71" s="0"/>
    </row>
    <row r="72" customFormat="false" ht="13.8" hidden="false" customHeight="false" outlineLevel="0" collapsed="false">
      <c r="H72" s="0"/>
    </row>
    <row r="73" customFormat="false" ht="13.8" hidden="false" customHeight="false" outlineLevel="0" collapsed="false">
      <c r="H73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8ac463-e297-46bf-878d-ff811c52e420">
      <Terms xmlns="http://schemas.microsoft.com/office/infopath/2007/PartnerControls"/>
    </lcf76f155ced4ddcb4097134ff3c332f>
    <TaxCatchAll xmlns="a789318a-d59e-46ae-8526-eab55dd30d8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1D63E1EBBCBC44E92D02F9282D2F4AD" ma:contentTypeVersion="11" ma:contentTypeDescription="Opret et nyt dokument." ma:contentTypeScope="" ma:versionID="4f3b02da978d741fc5b83af6b98d6bf0">
  <xsd:schema xmlns:xsd="http://www.w3.org/2001/XMLSchema" xmlns:xs="http://www.w3.org/2001/XMLSchema" xmlns:p="http://schemas.microsoft.com/office/2006/metadata/properties" xmlns:ns2="458ac463-e297-46bf-878d-ff811c52e420" xmlns:ns3="a789318a-d59e-46ae-8526-eab55dd30d85" targetNamespace="http://schemas.microsoft.com/office/2006/metadata/properties" ma:root="true" ma:fieldsID="ef335438ed54c233ac6b7eb8c6d5996a" ns2:_="" ns3:_="">
    <xsd:import namespace="458ac463-e297-46bf-878d-ff811c52e420"/>
    <xsd:import namespace="a789318a-d59e-46ae-8526-eab55dd30d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8ac463-e297-46bf-878d-ff811c52e4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illedmærker" ma:readOnly="false" ma:fieldId="{5cf76f15-5ced-4ddc-b409-7134ff3c332f}" ma:taxonomyMulti="true" ma:sspId="5d73657e-90f0-444e-a899-7df328d363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89318a-d59e-46ae-8526-eab55dd30d8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a2de522-fba9-4f47-a902-85a910fcd298}" ma:internalName="TaxCatchAll" ma:showField="CatchAllData" ma:web="a789318a-d59e-46ae-8526-eab55dd30d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DC495B-F368-4AC4-941C-3E7C54E0CDC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6B9481C-8E97-4695-89A5-ABE1E082788C}">
  <ds:schemaRefs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458ac463-e297-46bf-878d-ff811c52e420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92DBBA7-9DDA-4021-8918-1F0E8DBA12E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LibreOffice/25.8.0.4$Windows_X86_64 LibreOffice_project/48f00303701489684e67c38c28aff00cd5929e67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2026-04-30T07:00:37Z</dcterms:created>
  <dc:creator/>
  <dc:description/>
  <dc:language>en-US</dc:language>
  <cp:lastModifiedBy/>
  <dcterms:modified xsi:type="dcterms:W3CDTF">2026-05-13T12:03:17Z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0x01010011D63E1EBBCBC44E92D02F9282D2F4AD</vt:lpwstr>
  </property>
</Properties>
</file>