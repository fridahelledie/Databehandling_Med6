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ida\Documents\6. Semester\Projekt\Databehandling\"/>
    </mc:Choice>
  </mc:AlternateContent>
  <xr:revisionPtr revIDLastSave="0" documentId="13_ncr:1_{7617A40B-D0D9-4C0E-B60B-7F23B08EEAD4}" xr6:coauthVersionLast="47" xr6:coauthVersionMax="47" xr10:uidLastSave="{00000000-0000-0000-0000-000000000000}"/>
  <bookViews>
    <workbookView xWindow="15000" yWindow="0" windowWidth="10690" windowHeight="15370" firstSheet="1" activeTab="2" xr2:uid="{00000000-000D-0000-FFFF-FFFF00000000}"/>
  </bookViews>
  <sheets>
    <sheet name="VAS" sheetId="1" r:id="rId1"/>
    <sheet name="Presence" sheetId="3" r:id="rId2"/>
    <sheet name="Pain+Presence" sheetId="4" r:id="rId3"/>
    <sheet name="Calibrate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3" i="4" l="1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H6" i="1"/>
  <c r="K7" i="1"/>
  <c r="K16" i="1"/>
  <c r="K15" i="1"/>
  <c r="K6" i="1"/>
  <c r="K8" i="1"/>
  <c r="K9" i="1"/>
  <c r="K14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5" i="1"/>
  <c r="K4" i="1"/>
  <c r="K3" i="1"/>
  <c r="K2" i="1"/>
  <c r="J6" i="1"/>
  <c r="J10" i="1"/>
  <c r="J14" i="1"/>
  <c r="J18" i="1"/>
  <c r="J22" i="1"/>
  <c r="J26" i="1"/>
  <c r="J30" i="1"/>
  <c r="J34" i="1"/>
  <c r="J38" i="1"/>
  <c r="J42" i="1"/>
  <c r="J46" i="1"/>
  <c r="J50" i="1"/>
  <c r="J54" i="1"/>
  <c r="J58" i="1"/>
  <c r="J62" i="1"/>
  <c r="K63" i="1" s="1"/>
  <c r="J66" i="1"/>
  <c r="K66" i="1" s="1"/>
  <c r="J70" i="1"/>
  <c r="J2" i="1"/>
  <c r="I6" i="1"/>
  <c r="I10" i="1"/>
  <c r="K10" i="1" s="1"/>
  <c r="I14" i="1"/>
  <c r="I18" i="1"/>
  <c r="I22" i="1"/>
  <c r="I26" i="1"/>
  <c r="I30" i="1"/>
  <c r="I34" i="1"/>
  <c r="I38" i="1"/>
  <c r="I42" i="1"/>
  <c r="I46" i="1"/>
  <c r="K46" i="1" s="1"/>
  <c r="I50" i="1"/>
  <c r="I54" i="1"/>
  <c r="I58" i="1"/>
  <c r="I62" i="1"/>
  <c r="I66" i="1"/>
  <c r="I70" i="1"/>
  <c r="I2" i="1"/>
  <c r="H3" i="1"/>
  <c r="H4" i="1"/>
  <c r="H5" i="1"/>
  <c r="H7" i="1"/>
  <c r="H8" i="1"/>
  <c r="H9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50" i="1"/>
  <c r="H51" i="1"/>
  <c r="H52" i="1"/>
  <c r="H53" i="1"/>
  <c r="H54" i="1"/>
  <c r="H55" i="1"/>
  <c r="H58" i="1"/>
  <c r="H59" i="1"/>
  <c r="H60" i="1"/>
  <c r="H61" i="1"/>
  <c r="H62" i="1"/>
  <c r="H63" i="1"/>
  <c r="H64" i="1"/>
  <c r="H65" i="1"/>
  <c r="H66" i="1"/>
  <c r="H67" i="1"/>
  <c r="H68" i="1"/>
  <c r="H70" i="1"/>
  <c r="H71" i="1"/>
  <c r="H73" i="1"/>
  <c r="H2" i="1"/>
  <c r="G6" i="1"/>
  <c r="G7" i="1"/>
  <c r="G8" i="1"/>
  <c r="G9" i="1"/>
  <c r="G10" i="1"/>
  <c r="H10" i="1" s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H46" i="1" s="1"/>
  <c r="G47" i="1"/>
  <c r="H47" i="1" s="1"/>
  <c r="G48" i="1"/>
  <c r="H48" i="1" s="1"/>
  <c r="G49" i="1"/>
  <c r="H49" i="1" s="1"/>
  <c r="G50" i="1"/>
  <c r="G51" i="1"/>
  <c r="G52" i="1"/>
  <c r="G53" i="1"/>
  <c r="G54" i="1"/>
  <c r="G55" i="1"/>
  <c r="G56" i="1"/>
  <c r="H56" i="1" s="1"/>
  <c r="G57" i="1"/>
  <c r="H57" i="1" s="1"/>
  <c r="G58" i="1"/>
  <c r="G59" i="1"/>
  <c r="G60" i="1"/>
  <c r="G61" i="1"/>
  <c r="G62" i="1"/>
  <c r="G63" i="1"/>
  <c r="G64" i="1"/>
  <c r="G65" i="1"/>
  <c r="G66" i="1"/>
  <c r="G67" i="1"/>
  <c r="G68" i="1"/>
  <c r="G69" i="1"/>
  <c r="H69" i="1" s="1"/>
  <c r="G70" i="1"/>
  <c r="G71" i="1"/>
  <c r="G72" i="1"/>
  <c r="H72" i="1" s="1"/>
  <c r="G73" i="1"/>
  <c r="G3" i="1"/>
  <c r="G4" i="1"/>
  <c r="G5" i="1"/>
  <c r="G2" i="1"/>
  <c r="K72" i="1" l="1"/>
  <c r="K73" i="1"/>
  <c r="K71" i="1"/>
  <c r="K70" i="1"/>
  <c r="K69" i="1"/>
  <c r="K68" i="1"/>
  <c r="K67" i="1"/>
  <c r="K62" i="1"/>
  <c r="K65" i="1"/>
  <c r="K64" i="1"/>
  <c r="K59" i="1"/>
  <c r="K58" i="1"/>
  <c r="K61" i="1"/>
  <c r="K60" i="1"/>
  <c r="K54" i="1"/>
  <c r="K57" i="1"/>
  <c r="K56" i="1"/>
  <c r="K55" i="1"/>
  <c r="K50" i="1"/>
  <c r="K53" i="1"/>
  <c r="K52" i="1"/>
  <c r="K51" i="1"/>
  <c r="K49" i="1"/>
  <c r="K48" i="1"/>
  <c r="K47" i="1"/>
  <c r="K13" i="1"/>
  <c r="K12" i="1"/>
  <c r="K11" i="1"/>
</calcChain>
</file>

<file path=xl/sharedStrings.xml><?xml version="1.0" encoding="utf-8"?>
<sst xmlns="http://schemas.openxmlformats.org/spreadsheetml/2006/main" count="269" uniqueCount="43">
  <si>
    <t>Participant ID.</t>
  </si>
  <si>
    <t>Condition</t>
  </si>
  <si>
    <t>Order</t>
  </si>
  <si>
    <t>No-vibrations</t>
  </si>
  <si>
    <t>Hand-vibration</t>
  </si>
  <si>
    <t>Arm-vibrations</t>
  </si>
  <si>
    <t>Arm+hand-vibrations</t>
  </si>
  <si>
    <t>Sequence</t>
  </si>
  <si>
    <t>VAS</t>
  </si>
  <si>
    <t>-</t>
  </si>
  <si>
    <t>VAS-Baseline</t>
  </si>
  <si>
    <t>Participant ID</t>
  </si>
  <si>
    <t>0.8</t>
  </si>
  <si>
    <t>down to 1,5 (2,5)</t>
  </si>
  <si>
    <t>VAS-Change</t>
  </si>
  <si>
    <t>Percent change</t>
  </si>
  <si>
    <t>Mean</t>
  </si>
  <si>
    <t>SD</t>
  </si>
  <si>
    <t>Z-VAS</t>
  </si>
  <si>
    <t>Data not used due to logging errors</t>
  </si>
  <si>
    <t>s_1</t>
  </si>
  <si>
    <t>s_2</t>
  </si>
  <si>
    <t>s_3</t>
  </si>
  <si>
    <t>s_4</t>
  </si>
  <si>
    <t>s_5</t>
  </si>
  <si>
    <t>s_6</t>
  </si>
  <si>
    <t>s_7</t>
  </si>
  <si>
    <t>s_8</t>
  </si>
  <si>
    <t>s_9</t>
  </si>
  <si>
    <t>s_10</t>
  </si>
  <si>
    <t>s_11</t>
  </si>
  <si>
    <t>s_12</t>
  </si>
  <si>
    <t>s_13</t>
  </si>
  <si>
    <t>s_14</t>
  </si>
  <si>
    <t>s_14_rev</t>
  </si>
  <si>
    <t>s_15</t>
  </si>
  <si>
    <t>s_16</t>
  </si>
  <si>
    <t>s_17</t>
  </si>
  <si>
    <t>s_17_rev</t>
  </si>
  <si>
    <t>s_18</t>
  </si>
  <si>
    <t>s_18_rev</t>
  </si>
  <si>
    <t>s_19</t>
  </si>
  <si>
    <t>Presence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</si>
</sst>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E38D8D"/>
        <bgColor rgb="FF000000"/>
      </patternFill>
    </fill>
    <fill>
      <patternFill patternType="solid">
        <fgColor rgb="FFDF7B7B"/>
        <bgColor rgb="FF000000"/>
      </patternFill>
    </fill>
    <fill>
      <patternFill patternType="solid">
        <fgColor rgb="FFDF7B7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 style="thin">
        <color rgb="FF757171"/>
      </right>
      <top style="thin">
        <color rgb="FF757171"/>
      </top>
      <bottom style="thin">
        <color rgb="FF75717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0" fillId="2" borderId="3" xfId="0" applyFill="1" applyBorder="1"/>
    <xf numFmtId="0" fontId="0" fillId="2" borderId="2" xfId="0" applyFill="1" applyBorder="1"/>
    <xf numFmtId="0" fontId="0" fillId="2" borderId="0" xfId="0" applyFill="1"/>
    <xf numFmtId="0" fontId="0" fillId="2" borderId="5" xfId="0" applyFill="1" applyBorder="1"/>
    <xf numFmtId="0" fontId="0" fillId="3" borderId="4" xfId="0" applyFill="1" applyBorder="1"/>
    <xf numFmtId="0" fontId="0" fillId="3" borderId="6" xfId="0" applyFill="1" applyBorder="1"/>
    <xf numFmtId="0" fontId="0" fillId="3" borderId="7" xfId="0" applyFill="1" applyBorder="1"/>
    <xf numFmtId="43" fontId="0" fillId="2" borderId="5" xfId="1" applyFont="1" applyFill="1" applyBorder="1"/>
    <xf numFmtId="0" fontId="0" fillId="4" borderId="5" xfId="0" applyFill="1" applyBorder="1"/>
    <xf numFmtId="0" fontId="0" fillId="5" borderId="5" xfId="0" applyFill="1" applyBorder="1"/>
    <xf numFmtId="43" fontId="0" fillId="5" borderId="5" xfId="1" applyFont="1" applyFill="1" applyBorder="1"/>
    <xf numFmtId="0" fontId="0" fillId="5" borderId="1" xfId="0" applyFill="1" applyBorder="1"/>
    <xf numFmtId="0" fontId="2" fillId="6" borderId="8" xfId="0" applyFont="1" applyFill="1" applyBorder="1"/>
    <xf numFmtId="0" fontId="3" fillId="0" borderId="8" xfId="0" applyFont="1" applyBorder="1"/>
    <xf numFmtId="0" fontId="3" fillId="0" borderId="9" xfId="0" applyFont="1" applyBorder="1"/>
    <xf numFmtId="0" fontId="4" fillId="7" borderId="8" xfId="0" applyFont="1" applyFill="1" applyBorder="1"/>
    <xf numFmtId="0" fontId="5" fillId="7" borderId="8" xfId="0" applyFont="1" applyFill="1" applyBorder="1"/>
    <xf numFmtId="0" fontId="5" fillId="7" borderId="9" xfId="0" applyFont="1" applyFill="1" applyBorder="1"/>
    <xf numFmtId="0" fontId="4" fillId="6" borderId="8" xfId="0" applyFont="1" applyFill="1" applyBorder="1"/>
    <xf numFmtId="0" fontId="5" fillId="6" borderId="8" xfId="0" applyFont="1" applyFill="1" applyBorder="1"/>
    <xf numFmtId="0" fontId="4" fillId="8" borderId="8" xfId="0" applyFont="1" applyFill="1" applyBorder="1"/>
    <xf numFmtId="0" fontId="5" fillId="8" borderId="8" xfId="0" applyFont="1" applyFill="1" applyBorder="1"/>
    <xf numFmtId="0" fontId="5" fillId="0" borderId="8" xfId="0" applyFont="1" applyBorder="1"/>
    <xf numFmtId="0" fontId="4" fillId="9" borderId="8" xfId="0" applyFont="1" applyFill="1" applyBorder="1"/>
    <xf numFmtId="0" fontId="5" fillId="9" borderId="9" xfId="0" applyFont="1" applyFill="1" applyBorder="1"/>
    <xf numFmtId="0" fontId="0" fillId="10" borderId="5" xfId="0" applyFill="1" applyBorder="1"/>
    <xf numFmtId="0" fontId="0" fillId="10" borderId="0" xfId="0" applyFill="1"/>
    <xf numFmtId="0" fontId="6" fillId="2" borderId="5" xfId="0" applyFont="1" applyFill="1" applyBorder="1"/>
    <xf numFmtId="0" fontId="6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Medium9"/>
  <colors>
    <mruColors>
      <color rgb="FFDF7B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342"/>
  <sheetViews>
    <sheetView workbookViewId="0">
      <pane ySplit="1" topLeftCell="A2" activePane="bottomLeft" state="frozen"/>
      <selection pane="bottomLeft" activeCell="E1" sqref="E1:G1048576"/>
    </sheetView>
  </sheetViews>
  <sheetFormatPr defaultColWidth="8.81640625" defaultRowHeight="14.5" x14ac:dyDescent="0.35"/>
  <cols>
    <col min="1" max="1" width="12.54296875" style="3" bestFit="1" customWidth="1"/>
    <col min="2" max="2" width="18.81640625" style="3" bestFit="1" customWidth="1"/>
    <col min="3" max="3" width="18.81640625" style="3" customWidth="1"/>
    <col min="4" max="4" width="8.81640625" style="3"/>
    <col min="5" max="5" width="11.54296875" style="3" bestFit="1" customWidth="1"/>
    <col min="6" max="6" width="8.81640625" style="3"/>
    <col min="7" max="7" width="10.81640625" style="3" bestFit="1" customWidth="1"/>
    <col min="8" max="8" width="13.54296875" style="3" bestFit="1" customWidth="1"/>
    <col min="9" max="16384" width="8.81640625" style="3"/>
  </cols>
  <sheetData>
    <row r="1" spans="1:59" x14ac:dyDescent="0.35">
      <c r="A1" s="4" t="s">
        <v>0</v>
      </c>
      <c r="B1" s="4" t="s">
        <v>1</v>
      </c>
      <c r="C1" s="4" t="s">
        <v>2</v>
      </c>
      <c r="D1" s="4" t="s">
        <v>7</v>
      </c>
      <c r="E1" s="4" t="s">
        <v>10</v>
      </c>
      <c r="F1" s="4" t="s">
        <v>8</v>
      </c>
      <c r="G1" s="4" t="s">
        <v>14</v>
      </c>
      <c r="H1" s="4" t="s">
        <v>15</v>
      </c>
      <c r="I1" s="4" t="s">
        <v>16</v>
      </c>
      <c r="J1" s="4" t="s">
        <v>17</v>
      </c>
      <c r="K1" s="4" t="s">
        <v>18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</row>
    <row r="2" spans="1:59" s="12" customFormat="1" x14ac:dyDescent="0.35">
      <c r="A2" s="10">
        <v>1</v>
      </c>
      <c r="B2" s="10" t="s">
        <v>3</v>
      </c>
      <c r="C2" s="10">
        <v>2</v>
      </c>
      <c r="D2" s="10">
        <v>2</v>
      </c>
      <c r="E2" s="10">
        <v>3</v>
      </c>
      <c r="F2" s="10">
        <v>2.5</v>
      </c>
      <c r="G2" s="10">
        <f>F2-E2</f>
        <v>-0.5</v>
      </c>
      <c r="H2" s="11">
        <f>(G2/E2)*100</f>
        <v>-16.666666666666664</v>
      </c>
      <c r="I2" s="10">
        <f>AVERAGE(F2:F5)</f>
        <v>2.2999999999999998</v>
      </c>
      <c r="J2" s="10">
        <f>_xlfn.STDEV.S(F2:F5)</f>
        <v>0.5715476066494094</v>
      </c>
      <c r="K2" s="10">
        <f>(F2-I2)/J2</f>
        <v>0.34992710611188216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</row>
    <row r="3" spans="1:59" s="12" customFormat="1" x14ac:dyDescent="0.35">
      <c r="A3" s="10">
        <v>1</v>
      </c>
      <c r="B3" s="10" t="s">
        <v>4</v>
      </c>
      <c r="C3" s="10">
        <v>2</v>
      </c>
      <c r="D3" s="10">
        <v>1</v>
      </c>
      <c r="E3" s="10">
        <v>3</v>
      </c>
      <c r="F3" s="10">
        <v>2</v>
      </c>
      <c r="G3" s="10">
        <f t="shared" ref="G3:G66" si="0">F3-E3</f>
        <v>-1</v>
      </c>
      <c r="H3" s="11">
        <f t="shared" ref="H3:H66" si="1">(G3/E3)*100</f>
        <v>-33.333333333333329</v>
      </c>
      <c r="I3" s="10"/>
      <c r="J3" s="10"/>
      <c r="K3" s="10">
        <f>(F3-I2)/J2</f>
        <v>-0.52489065916782252</v>
      </c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</row>
    <row r="4" spans="1:59" s="12" customFormat="1" x14ac:dyDescent="0.35">
      <c r="A4" s="10">
        <v>1</v>
      </c>
      <c r="B4" s="10" t="s">
        <v>5</v>
      </c>
      <c r="C4" s="10">
        <v>2</v>
      </c>
      <c r="D4" s="10">
        <v>4</v>
      </c>
      <c r="E4" s="10">
        <v>3</v>
      </c>
      <c r="F4" s="10">
        <v>3</v>
      </c>
      <c r="G4" s="10">
        <f t="shared" si="0"/>
        <v>0</v>
      </c>
      <c r="H4" s="11">
        <f t="shared" si="1"/>
        <v>0</v>
      </c>
      <c r="I4" s="10"/>
      <c r="J4" s="10"/>
      <c r="K4" s="10">
        <f>(F4-I2)/J2</f>
        <v>1.2247448713915869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</row>
    <row r="5" spans="1:59" s="12" customFormat="1" x14ac:dyDescent="0.35">
      <c r="A5" s="10">
        <v>1</v>
      </c>
      <c r="B5" s="10" t="s">
        <v>6</v>
      </c>
      <c r="C5" s="10">
        <v>2</v>
      </c>
      <c r="D5" s="10">
        <v>3</v>
      </c>
      <c r="E5" s="10">
        <v>3</v>
      </c>
      <c r="F5" s="10">
        <v>1.7</v>
      </c>
      <c r="G5" s="10">
        <f t="shared" si="0"/>
        <v>-1.3</v>
      </c>
      <c r="H5" s="11">
        <f t="shared" si="1"/>
        <v>-43.333333333333336</v>
      </c>
      <c r="I5" s="10"/>
      <c r="J5" s="10"/>
      <c r="K5" s="10">
        <f>(F5-I2)/J2</f>
        <v>-1.0497813183356453</v>
      </c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</row>
    <row r="6" spans="1:59" x14ac:dyDescent="0.35">
      <c r="A6" s="4">
        <v>2</v>
      </c>
      <c r="B6" s="4" t="s">
        <v>3</v>
      </c>
      <c r="C6" s="4">
        <v>1</v>
      </c>
      <c r="D6" s="4">
        <v>1</v>
      </c>
      <c r="E6" s="4">
        <v>4</v>
      </c>
      <c r="F6" s="4">
        <v>2</v>
      </c>
      <c r="G6" s="4">
        <f t="shared" si="0"/>
        <v>-2</v>
      </c>
      <c r="H6" s="8">
        <f>(G6/E6)*100</f>
        <v>-50</v>
      </c>
      <c r="I6" s="4">
        <f t="shared" ref="I6:I66" si="2">AVERAGE(F6:F9)</f>
        <v>2.25</v>
      </c>
      <c r="J6" s="4">
        <f t="shared" ref="J6:J66" si="3">_xlfn.STDEV.S(F6:F9)</f>
        <v>0.5</v>
      </c>
      <c r="K6" s="4">
        <f t="shared" ref="K6" si="4">(F6-I6)/J6</f>
        <v>-0.5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</row>
    <row r="7" spans="1:59" x14ac:dyDescent="0.35">
      <c r="A7" s="4">
        <v>2</v>
      </c>
      <c r="B7" s="4" t="s">
        <v>4</v>
      </c>
      <c r="C7" s="4">
        <v>1</v>
      </c>
      <c r="D7" s="4">
        <v>2</v>
      </c>
      <c r="E7" s="4">
        <v>4</v>
      </c>
      <c r="F7" s="4">
        <v>3</v>
      </c>
      <c r="G7" s="4">
        <f t="shared" si="0"/>
        <v>-1</v>
      </c>
      <c r="H7" s="8">
        <f t="shared" si="1"/>
        <v>-25</v>
      </c>
      <c r="I7" s="4"/>
      <c r="J7" s="4"/>
      <c r="K7" s="4">
        <f>(F7-I6)/J6</f>
        <v>1.5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</row>
    <row r="8" spans="1:59" x14ac:dyDescent="0.35">
      <c r="A8" s="4">
        <v>2</v>
      </c>
      <c r="B8" s="4" t="s">
        <v>5</v>
      </c>
      <c r="C8" s="4">
        <v>1</v>
      </c>
      <c r="D8" s="4">
        <v>3</v>
      </c>
      <c r="E8" s="4">
        <v>4</v>
      </c>
      <c r="F8" s="4">
        <v>2</v>
      </c>
      <c r="G8" s="4">
        <f t="shared" si="0"/>
        <v>-2</v>
      </c>
      <c r="H8" s="8">
        <f t="shared" si="1"/>
        <v>-50</v>
      </c>
      <c r="I8" s="4"/>
      <c r="J8" s="4"/>
      <c r="K8" s="4">
        <f t="shared" ref="K8" si="5">(F8-I6)/J6</f>
        <v>-0.5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</row>
    <row r="9" spans="1:59" x14ac:dyDescent="0.35">
      <c r="A9" s="4">
        <v>2</v>
      </c>
      <c r="B9" s="4" t="s">
        <v>6</v>
      </c>
      <c r="C9" s="4">
        <v>1</v>
      </c>
      <c r="D9" s="4">
        <v>4</v>
      </c>
      <c r="E9" s="4">
        <v>4</v>
      </c>
      <c r="F9" s="4">
        <v>2</v>
      </c>
      <c r="G9" s="4">
        <f t="shared" si="0"/>
        <v>-2</v>
      </c>
      <c r="H9" s="8">
        <f t="shared" si="1"/>
        <v>-50</v>
      </c>
      <c r="I9" s="4"/>
      <c r="J9" s="4"/>
      <c r="K9" s="4">
        <f t="shared" ref="K9" si="6">(F9-I6)/J6</f>
        <v>-0.5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</row>
    <row r="10" spans="1:59" s="12" customFormat="1" x14ac:dyDescent="0.35">
      <c r="A10" s="10">
        <v>3</v>
      </c>
      <c r="B10" s="10" t="s">
        <v>3</v>
      </c>
      <c r="C10" s="10">
        <v>2</v>
      </c>
      <c r="D10" s="10">
        <v>1</v>
      </c>
      <c r="E10" s="10">
        <v>0.8</v>
      </c>
      <c r="F10" s="10">
        <v>5</v>
      </c>
      <c r="G10" s="10">
        <f t="shared" si="0"/>
        <v>4.2</v>
      </c>
      <c r="H10" s="11">
        <f t="shared" si="1"/>
        <v>525</v>
      </c>
      <c r="I10" s="10">
        <f t="shared" si="2"/>
        <v>2.5</v>
      </c>
      <c r="J10" s="10">
        <f t="shared" si="3"/>
        <v>1.7320508075688772</v>
      </c>
      <c r="K10" s="10">
        <f t="shared" ref="K10" si="7">(F10-I10)/J10</f>
        <v>1.4433756729740645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</row>
    <row r="11" spans="1:59" s="12" customFormat="1" x14ac:dyDescent="0.35">
      <c r="A11" s="10">
        <v>3</v>
      </c>
      <c r="B11" s="10" t="s">
        <v>4</v>
      </c>
      <c r="C11" s="10">
        <v>2</v>
      </c>
      <c r="D11" s="10">
        <v>2</v>
      </c>
      <c r="E11" s="10">
        <v>0.8</v>
      </c>
      <c r="F11" s="10">
        <v>2</v>
      </c>
      <c r="G11" s="10">
        <f t="shared" si="0"/>
        <v>1.2</v>
      </c>
      <c r="H11" s="11">
        <f t="shared" si="1"/>
        <v>149.99999999999997</v>
      </c>
      <c r="I11" s="10"/>
      <c r="J11" s="10"/>
      <c r="K11" s="10">
        <f t="shared" ref="K11" si="8">(F11-I10)/J10</f>
        <v>-0.28867513459481292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</row>
    <row r="12" spans="1:59" s="12" customFormat="1" x14ac:dyDescent="0.35">
      <c r="A12" s="10">
        <v>3</v>
      </c>
      <c r="B12" s="10" t="s">
        <v>5</v>
      </c>
      <c r="C12" s="10">
        <v>2</v>
      </c>
      <c r="D12" s="10">
        <v>4</v>
      </c>
      <c r="E12" s="10">
        <v>0.8</v>
      </c>
      <c r="F12" s="10">
        <v>1</v>
      </c>
      <c r="G12" s="10">
        <f t="shared" si="0"/>
        <v>0.19999999999999996</v>
      </c>
      <c r="H12" s="11">
        <f t="shared" si="1"/>
        <v>24.999999999999993</v>
      </c>
      <c r="I12" s="10"/>
      <c r="J12" s="10"/>
      <c r="K12" s="10">
        <f t="shared" ref="K12" si="9">(F12-I10)/J10</f>
        <v>-0.86602540378443871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</row>
    <row r="13" spans="1:59" s="12" customFormat="1" x14ac:dyDescent="0.35">
      <c r="A13" s="10">
        <v>3</v>
      </c>
      <c r="B13" s="10" t="s">
        <v>6</v>
      </c>
      <c r="C13" s="10">
        <v>2</v>
      </c>
      <c r="D13" s="10">
        <v>3</v>
      </c>
      <c r="E13" s="10">
        <v>0.8</v>
      </c>
      <c r="F13" s="10">
        <v>2</v>
      </c>
      <c r="G13" s="10">
        <f t="shared" si="0"/>
        <v>1.2</v>
      </c>
      <c r="H13" s="11">
        <f t="shared" si="1"/>
        <v>149.99999999999997</v>
      </c>
      <c r="I13" s="10"/>
      <c r="J13" s="10"/>
      <c r="K13" s="10">
        <f t="shared" ref="K13" si="10">(F13-I10)/J10</f>
        <v>-0.28867513459481292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</row>
    <row r="14" spans="1:59" x14ac:dyDescent="0.35">
      <c r="A14" s="4">
        <v>4</v>
      </c>
      <c r="B14" s="4" t="s">
        <v>3</v>
      </c>
      <c r="C14" s="4">
        <v>1</v>
      </c>
      <c r="D14" s="4">
        <v>1</v>
      </c>
      <c r="E14" s="4">
        <v>5</v>
      </c>
      <c r="F14" s="4">
        <v>5</v>
      </c>
      <c r="G14" s="4">
        <f t="shared" si="0"/>
        <v>0</v>
      </c>
      <c r="H14" s="8">
        <f t="shared" si="1"/>
        <v>0</v>
      </c>
      <c r="I14" s="4">
        <f t="shared" si="2"/>
        <v>4.75</v>
      </c>
      <c r="J14" s="4">
        <f t="shared" si="3"/>
        <v>0.5</v>
      </c>
      <c r="K14" s="4">
        <f t="shared" ref="K14" si="11">(F14-I14)/J14</f>
        <v>0.5</v>
      </c>
      <c r="L14" s="9"/>
      <c r="M14" s="4" t="s">
        <v>19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</row>
    <row r="15" spans="1:59" x14ac:dyDescent="0.35">
      <c r="A15" s="4">
        <v>4</v>
      </c>
      <c r="B15" s="4" t="s">
        <v>4</v>
      </c>
      <c r="C15" s="4">
        <v>1</v>
      </c>
      <c r="D15" s="4">
        <v>2</v>
      </c>
      <c r="E15" s="4">
        <v>5</v>
      </c>
      <c r="F15" s="4">
        <v>5</v>
      </c>
      <c r="G15" s="4">
        <f t="shared" si="0"/>
        <v>0</v>
      </c>
      <c r="H15" s="8">
        <f t="shared" si="1"/>
        <v>0</v>
      </c>
      <c r="I15" s="4"/>
      <c r="J15" s="4"/>
      <c r="K15" s="4">
        <f>(F15-I14)/J14</f>
        <v>0.5</v>
      </c>
      <c r="L15" s="9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</row>
    <row r="16" spans="1:59" x14ac:dyDescent="0.35">
      <c r="A16" s="4">
        <v>4</v>
      </c>
      <c r="B16" s="4" t="s">
        <v>5</v>
      </c>
      <c r="C16" s="4">
        <v>1</v>
      </c>
      <c r="D16" s="4">
        <v>3</v>
      </c>
      <c r="E16" s="4">
        <v>5</v>
      </c>
      <c r="F16" s="4">
        <v>4</v>
      </c>
      <c r="G16" s="4">
        <f t="shared" si="0"/>
        <v>-1</v>
      </c>
      <c r="H16" s="8">
        <f t="shared" si="1"/>
        <v>-20</v>
      </c>
      <c r="I16" s="4"/>
      <c r="J16" s="4"/>
      <c r="K16" s="4">
        <f>(F16-I14)/J14</f>
        <v>-1.5</v>
      </c>
      <c r="L16" s="9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</row>
    <row r="17" spans="1:59" ht="15" customHeight="1" x14ac:dyDescent="0.35">
      <c r="A17" s="4">
        <v>4</v>
      </c>
      <c r="B17" s="4" t="s">
        <v>6</v>
      </c>
      <c r="C17" s="4">
        <v>1</v>
      </c>
      <c r="D17" s="4">
        <v>4</v>
      </c>
      <c r="E17" s="4">
        <v>5</v>
      </c>
      <c r="F17" s="4">
        <v>5</v>
      </c>
      <c r="G17" s="4">
        <f t="shared" si="0"/>
        <v>0</v>
      </c>
      <c r="H17" s="8">
        <f t="shared" si="1"/>
        <v>0</v>
      </c>
      <c r="I17" s="4"/>
      <c r="J17" s="4"/>
      <c r="K17" s="4">
        <f t="shared" ref="K17" si="12">(F17-I14)/J14</f>
        <v>0.5</v>
      </c>
      <c r="L17" s="9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</row>
    <row r="18" spans="1:59" s="12" customFormat="1" ht="14.5" customHeight="1" x14ac:dyDescent="0.35">
      <c r="A18" s="10">
        <v>5</v>
      </c>
      <c r="B18" s="10" t="s">
        <v>3</v>
      </c>
      <c r="C18" s="10">
        <v>3</v>
      </c>
      <c r="D18" s="10">
        <v>3</v>
      </c>
      <c r="E18" s="10">
        <v>4</v>
      </c>
      <c r="F18" s="10" t="s">
        <v>9</v>
      </c>
      <c r="G18" s="10" t="e">
        <f t="shared" si="0"/>
        <v>#VALUE!</v>
      </c>
      <c r="H18" s="11" t="e">
        <f t="shared" si="1"/>
        <v>#VALUE!</v>
      </c>
      <c r="I18" s="10">
        <f t="shared" si="2"/>
        <v>4.5</v>
      </c>
      <c r="J18" s="10">
        <f t="shared" si="3"/>
        <v>0.70710678118654757</v>
      </c>
      <c r="K18" s="10" t="e">
        <f t="shared" ref="K18" si="13">(F18-I18)/J18</f>
        <v>#VALUE!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</row>
    <row r="19" spans="1:59" s="12" customFormat="1" x14ac:dyDescent="0.35">
      <c r="A19" s="10">
        <v>5</v>
      </c>
      <c r="B19" s="10" t="s">
        <v>4</v>
      </c>
      <c r="C19" s="10">
        <v>3</v>
      </c>
      <c r="D19" s="10">
        <v>4</v>
      </c>
      <c r="E19" s="10">
        <v>4</v>
      </c>
      <c r="F19" s="10" t="s">
        <v>9</v>
      </c>
      <c r="G19" s="10" t="e">
        <f t="shared" si="0"/>
        <v>#VALUE!</v>
      </c>
      <c r="H19" s="11" t="e">
        <f t="shared" si="1"/>
        <v>#VALUE!</v>
      </c>
      <c r="I19" s="10"/>
      <c r="J19" s="10"/>
      <c r="K19" s="10" t="e">
        <f t="shared" ref="K19" si="14">(F19-I18)/J18</f>
        <v>#VALUE!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</row>
    <row r="20" spans="1:59" s="12" customFormat="1" x14ac:dyDescent="0.35">
      <c r="A20" s="10">
        <v>5</v>
      </c>
      <c r="B20" s="10" t="s">
        <v>5</v>
      </c>
      <c r="C20" s="10">
        <v>3</v>
      </c>
      <c r="D20" s="10">
        <v>1</v>
      </c>
      <c r="E20" s="10">
        <v>4</v>
      </c>
      <c r="F20" s="10">
        <v>4</v>
      </c>
      <c r="G20" s="10">
        <f t="shared" si="0"/>
        <v>0</v>
      </c>
      <c r="H20" s="11">
        <f t="shared" si="1"/>
        <v>0</v>
      </c>
      <c r="I20" s="10"/>
      <c r="J20" s="10"/>
      <c r="K20" s="10">
        <f t="shared" ref="K20" si="15">(F20-I18)/J18</f>
        <v>-0.70710678118654746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</row>
    <row r="21" spans="1:59" s="12" customFormat="1" x14ac:dyDescent="0.35">
      <c r="A21" s="10">
        <v>5</v>
      </c>
      <c r="B21" s="10" t="s">
        <v>6</v>
      </c>
      <c r="C21" s="10">
        <v>3</v>
      </c>
      <c r="D21" s="10">
        <v>2</v>
      </c>
      <c r="E21" s="10">
        <v>4</v>
      </c>
      <c r="F21" s="10">
        <v>5</v>
      </c>
      <c r="G21" s="10">
        <f t="shared" si="0"/>
        <v>1</v>
      </c>
      <c r="H21" s="11">
        <f t="shared" si="1"/>
        <v>25</v>
      </c>
      <c r="I21" s="10"/>
      <c r="J21" s="10"/>
      <c r="K21" s="10">
        <f t="shared" ref="K21" si="16">(F21-I18)/J18</f>
        <v>0.70710678118654746</v>
      </c>
      <c r="L21" s="10"/>
      <c r="M21" s="10" t="s">
        <v>19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</row>
    <row r="22" spans="1:59" x14ac:dyDescent="0.35">
      <c r="A22" s="4">
        <v>6</v>
      </c>
      <c r="B22" s="4" t="s">
        <v>3</v>
      </c>
      <c r="C22" s="4">
        <v>4</v>
      </c>
      <c r="D22" s="4">
        <v>4</v>
      </c>
      <c r="E22" s="4">
        <v>2.5</v>
      </c>
      <c r="F22" s="4">
        <v>4</v>
      </c>
      <c r="G22" s="4">
        <f t="shared" si="0"/>
        <v>1.5</v>
      </c>
      <c r="H22" s="8">
        <f t="shared" si="1"/>
        <v>60</v>
      </c>
      <c r="I22" s="4">
        <f t="shared" si="2"/>
        <v>2.25</v>
      </c>
      <c r="J22" s="4">
        <f t="shared" si="3"/>
        <v>1.3228756555322954</v>
      </c>
      <c r="K22" s="4">
        <f t="shared" ref="K22" si="17">(F22-I22)/J22</f>
        <v>1.3228756555322951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</row>
    <row r="23" spans="1:59" x14ac:dyDescent="0.35">
      <c r="A23" s="4">
        <v>6</v>
      </c>
      <c r="B23" s="4" t="s">
        <v>4</v>
      </c>
      <c r="C23" s="4">
        <v>4</v>
      </c>
      <c r="D23" s="4">
        <v>3</v>
      </c>
      <c r="E23" s="4">
        <v>2.5</v>
      </c>
      <c r="F23" s="4">
        <v>1</v>
      </c>
      <c r="G23" s="4">
        <f t="shared" si="0"/>
        <v>-1.5</v>
      </c>
      <c r="H23" s="8">
        <f t="shared" si="1"/>
        <v>-60</v>
      </c>
      <c r="I23" s="4"/>
      <c r="J23" s="4"/>
      <c r="K23" s="4">
        <f t="shared" ref="K23" si="18">(F23-I22)/J22</f>
        <v>-0.94491118252306805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</row>
    <row r="24" spans="1:59" x14ac:dyDescent="0.35">
      <c r="A24" s="4">
        <v>6</v>
      </c>
      <c r="B24" s="4" t="s">
        <v>5</v>
      </c>
      <c r="C24" s="4">
        <v>4</v>
      </c>
      <c r="D24" s="4">
        <v>2</v>
      </c>
      <c r="E24" s="4">
        <v>2.5</v>
      </c>
      <c r="F24" s="4">
        <v>2.5</v>
      </c>
      <c r="G24" s="4">
        <f t="shared" si="0"/>
        <v>0</v>
      </c>
      <c r="H24" s="8">
        <f t="shared" si="1"/>
        <v>0</v>
      </c>
      <c r="I24" s="4"/>
      <c r="J24" s="4"/>
      <c r="K24" s="4">
        <f t="shared" ref="K24" si="19">(F24-I22)/J22</f>
        <v>0.1889822365046136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</row>
    <row r="25" spans="1:59" x14ac:dyDescent="0.35">
      <c r="A25" s="4">
        <v>6</v>
      </c>
      <c r="B25" s="4" t="s">
        <v>6</v>
      </c>
      <c r="C25" s="4">
        <v>4</v>
      </c>
      <c r="D25" s="4">
        <v>1</v>
      </c>
      <c r="E25" s="4">
        <v>2.5</v>
      </c>
      <c r="F25" s="4">
        <v>1.5</v>
      </c>
      <c r="G25" s="4">
        <f t="shared" si="0"/>
        <v>-1</v>
      </c>
      <c r="H25" s="8">
        <f t="shared" si="1"/>
        <v>-40</v>
      </c>
      <c r="I25" s="4"/>
      <c r="J25" s="4"/>
      <c r="K25" s="4">
        <f t="shared" ref="K25" si="20">(F25-I22)/J22</f>
        <v>-0.56694670951384085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</row>
    <row r="26" spans="1:59" s="12" customFormat="1" x14ac:dyDescent="0.35">
      <c r="A26" s="10">
        <v>7</v>
      </c>
      <c r="B26" s="10" t="s">
        <v>3</v>
      </c>
      <c r="C26" s="10">
        <v>1</v>
      </c>
      <c r="D26" s="10">
        <v>1</v>
      </c>
      <c r="E26" s="10">
        <v>5</v>
      </c>
      <c r="F26" s="10">
        <v>3</v>
      </c>
      <c r="G26" s="10">
        <f t="shared" si="0"/>
        <v>-2</v>
      </c>
      <c r="H26" s="11">
        <f t="shared" si="1"/>
        <v>-40</v>
      </c>
      <c r="I26" s="10">
        <f t="shared" si="2"/>
        <v>2.95</v>
      </c>
      <c r="J26" s="10">
        <f t="shared" si="3"/>
        <v>0.82259751195020314</v>
      </c>
      <c r="K26" s="10">
        <f t="shared" ref="K26" si="21">(F26-I26)/J26</f>
        <v>6.0783067385482961E-2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</row>
    <row r="27" spans="1:59" s="12" customFormat="1" x14ac:dyDescent="0.35">
      <c r="A27" s="10">
        <v>7</v>
      </c>
      <c r="B27" s="10" t="s">
        <v>4</v>
      </c>
      <c r="C27" s="10">
        <v>1</v>
      </c>
      <c r="D27" s="10">
        <v>2</v>
      </c>
      <c r="E27" s="10">
        <v>5</v>
      </c>
      <c r="F27" s="10">
        <v>4</v>
      </c>
      <c r="G27" s="10">
        <f t="shared" si="0"/>
        <v>-1</v>
      </c>
      <c r="H27" s="11">
        <f t="shared" si="1"/>
        <v>-20</v>
      </c>
      <c r="I27" s="10"/>
      <c r="J27" s="10"/>
      <c r="K27" s="10">
        <f t="shared" ref="K27" si="22">(F27-I26)/J26</f>
        <v>1.2764444150951464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</row>
    <row r="28" spans="1:59" s="12" customFormat="1" x14ac:dyDescent="0.35">
      <c r="A28" s="10">
        <v>7</v>
      </c>
      <c r="B28" s="10" t="s">
        <v>5</v>
      </c>
      <c r="C28" s="10">
        <v>1</v>
      </c>
      <c r="D28" s="10">
        <v>3</v>
      </c>
      <c r="E28" s="10">
        <v>5</v>
      </c>
      <c r="F28" s="10">
        <v>2.8</v>
      </c>
      <c r="G28" s="10">
        <f t="shared" si="0"/>
        <v>-2.2000000000000002</v>
      </c>
      <c r="H28" s="11">
        <f t="shared" si="1"/>
        <v>-44.000000000000007</v>
      </c>
      <c r="I28" s="10"/>
      <c r="J28" s="10"/>
      <c r="K28" s="10">
        <f t="shared" ref="K28" si="23">(F28-I26)/J26</f>
        <v>-0.18234920215644995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</row>
    <row r="29" spans="1:59" s="12" customFormat="1" x14ac:dyDescent="0.35">
      <c r="A29" s="10">
        <v>7</v>
      </c>
      <c r="B29" s="10" t="s">
        <v>6</v>
      </c>
      <c r="C29" s="10">
        <v>1</v>
      </c>
      <c r="D29" s="10">
        <v>4</v>
      </c>
      <c r="E29" s="10">
        <v>5</v>
      </c>
      <c r="F29" s="10">
        <v>2</v>
      </c>
      <c r="G29" s="10">
        <f t="shared" si="0"/>
        <v>-3</v>
      </c>
      <c r="H29" s="11">
        <f t="shared" si="1"/>
        <v>-60</v>
      </c>
      <c r="I29" s="10"/>
      <c r="J29" s="10"/>
      <c r="K29" s="10">
        <f t="shared" ref="K29" si="24">(F29-I26)/J26</f>
        <v>-1.1548782803241806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</row>
    <row r="30" spans="1:59" x14ac:dyDescent="0.35">
      <c r="A30" s="4">
        <v>8</v>
      </c>
      <c r="B30" s="4" t="s">
        <v>3</v>
      </c>
      <c r="C30" s="4">
        <v>4</v>
      </c>
      <c r="D30" s="4">
        <v>4</v>
      </c>
      <c r="E30" s="4">
        <v>6</v>
      </c>
      <c r="F30" s="4">
        <v>3</v>
      </c>
      <c r="G30" s="4">
        <f t="shared" si="0"/>
        <v>-3</v>
      </c>
      <c r="H30" s="8">
        <f t="shared" si="1"/>
        <v>-50</v>
      </c>
      <c r="I30" s="4">
        <f t="shared" si="2"/>
        <v>3.5</v>
      </c>
      <c r="J30" s="4">
        <f t="shared" si="3"/>
        <v>1.2909944487358056</v>
      </c>
      <c r="K30" s="4">
        <f t="shared" ref="K30" si="25">(F30-I30)/J30</f>
        <v>-0.3872983346207417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</row>
    <row r="31" spans="1:59" x14ac:dyDescent="0.35">
      <c r="A31" s="4">
        <v>8</v>
      </c>
      <c r="B31" s="4" t="s">
        <v>4</v>
      </c>
      <c r="C31" s="4">
        <v>4</v>
      </c>
      <c r="D31" s="4">
        <v>3</v>
      </c>
      <c r="E31" s="4">
        <v>6</v>
      </c>
      <c r="F31" s="4">
        <v>5</v>
      </c>
      <c r="G31" s="4">
        <f t="shared" si="0"/>
        <v>-1</v>
      </c>
      <c r="H31" s="8">
        <f t="shared" si="1"/>
        <v>-16.666666666666664</v>
      </c>
      <c r="I31" s="4"/>
      <c r="J31" s="4"/>
      <c r="K31" s="4">
        <f t="shared" ref="K31" si="26">(F31-I30)/J30</f>
        <v>1.1618950038622251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</row>
    <row r="32" spans="1:59" x14ac:dyDescent="0.35">
      <c r="A32" s="4">
        <v>8</v>
      </c>
      <c r="B32" s="4" t="s">
        <v>5</v>
      </c>
      <c r="C32" s="4">
        <v>4</v>
      </c>
      <c r="D32" s="4">
        <v>2</v>
      </c>
      <c r="E32" s="4">
        <v>6</v>
      </c>
      <c r="F32" s="4">
        <v>4</v>
      </c>
      <c r="G32" s="4">
        <f t="shared" si="0"/>
        <v>-2</v>
      </c>
      <c r="H32" s="8">
        <f t="shared" si="1"/>
        <v>-33.333333333333329</v>
      </c>
      <c r="I32" s="4"/>
      <c r="J32" s="4"/>
      <c r="K32" s="4">
        <f t="shared" ref="K32" si="27">(F32-I30)/J30</f>
        <v>0.3872983346207417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</row>
    <row r="33" spans="1:59" x14ac:dyDescent="0.35">
      <c r="A33" s="4">
        <v>8</v>
      </c>
      <c r="B33" s="4" t="s">
        <v>6</v>
      </c>
      <c r="C33" s="4">
        <v>4</v>
      </c>
      <c r="D33" s="4">
        <v>1</v>
      </c>
      <c r="E33" s="4">
        <v>6</v>
      </c>
      <c r="F33" s="4">
        <v>2</v>
      </c>
      <c r="G33" s="4">
        <f t="shared" si="0"/>
        <v>-4</v>
      </c>
      <c r="H33" s="8">
        <f t="shared" si="1"/>
        <v>-66.666666666666657</v>
      </c>
      <c r="I33" s="4"/>
      <c r="J33" s="4"/>
      <c r="K33" s="4">
        <f t="shared" ref="K33" si="28">(F33-I30)/J30</f>
        <v>-1.1618950038622251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</row>
    <row r="34" spans="1:59" s="12" customFormat="1" x14ac:dyDescent="0.35">
      <c r="A34" s="10">
        <v>9</v>
      </c>
      <c r="B34" s="10" t="s">
        <v>3</v>
      </c>
      <c r="C34" s="10">
        <v>2</v>
      </c>
      <c r="D34" s="10">
        <v>2</v>
      </c>
      <c r="E34" s="10">
        <v>1.2</v>
      </c>
      <c r="F34" s="10">
        <v>2.5</v>
      </c>
      <c r="G34" s="10">
        <f t="shared" si="0"/>
        <v>1.3</v>
      </c>
      <c r="H34" s="11">
        <f t="shared" si="1"/>
        <v>108.33333333333334</v>
      </c>
      <c r="I34" s="10">
        <f t="shared" si="2"/>
        <v>1.75</v>
      </c>
      <c r="J34" s="10">
        <f t="shared" si="3"/>
        <v>0.8660254037844386</v>
      </c>
      <c r="K34" s="10">
        <f t="shared" ref="K34" si="29">(F34-I34)/J34</f>
        <v>0.86602540378443871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</row>
    <row r="35" spans="1:59" s="12" customFormat="1" x14ac:dyDescent="0.35">
      <c r="A35" s="10">
        <v>9</v>
      </c>
      <c r="B35" s="10" t="s">
        <v>4</v>
      </c>
      <c r="C35" s="10">
        <v>2</v>
      </c>
      <c r="D35" s="10">
        <v>1</v>
      </c>
      <c r="E35" s="10">
        <v>1.2</v>
      </c>
      <c r="F35" s="10">
        <v>2.5</v>
      </c>
      <c r="G35" s="10">
        <f t="shared" si="0"/>
        <v>1.3</v>
      </c>
      <c r="H35" s="11">
        <f t="shared" si="1"/>
        <v>108.33333333333334</v>
      </c>
      <c r="I35" s="10"/>
      <c r="J35" s="10"/>
      <c r="K35" s="10">
        <f t="shared" ref="K35" si="30">(F35-I34)/J34</f>
        <v>0.86602540378443871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</row>
    <row r="36" spans="1:59" s="12" customFormat="1" x14ac:dyDescent="0.35">
      <c r="A36" s="10">
        <v>9</v>
      </c>
      <c r="B36" s="10" t="s">
        <v>5</v>
      </c>
      <c r="C36" s="10">
        <v>2</v>
      </c>
      <c r="D36" s="10">
        <v>4</v>
      </c>
      <c r="E36" s="10">
        <v>1.2</v>
      </c>
      <c r="F36" s="10">
        <v>1</v>
      </c>
      <c r="G36" s="10">
        <f t="shared" si="0"/>
        <v>-0.19999999999999996</v>
      </c>
      <c r="H36" s="11">
        <f t="shared" si="1"/>
        <v>-16.666666666666664</v>
      </c>
      <c r="I36" s="10"/>
      <c r="J36" s="10"/>
      <c r="K36" s="10">
        <f t="shared" ref="K36" si="31">(F36-I34)/J34</f>
        <v>-0.86602540378443871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</row>
    <row r="37" spans="1:59" s="12" customFormat="1" x14ac:dyDescent="0.35">
      <c r="A37" s="10">
        <v>9</v>
      </c>
      <c r="B37" s="10" t="s">
        <v>6</v>
      </c>
      <c r="C37" s="10">
        <v>2</v>
      </c>
      <c r="D37" s="10">
        <v>3</v>
      </c>
      <c r="E37" s="10">
        <v>1.2</v>
      </c>
      <c r="F37" s="10">
        <v>1</v>
      </c>
      <c r="G37" s="10">
        <f t="shared" si="0"/>
        <v>-0.19999999999999996</v>
      </c>
      <c r="H37" s="11">
        <f t="shared" si="1"/>
        <v>-16.666666666666664</v>
      </c>
      <c r="I37" s="10"/>
      <c r="J37" s="10"/>
      <c r="K37" s="10">
        <f t="shared" ref="K37" si="32">(F37-I34)/J34</f>
        <v>-0.86602540378443871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</row>
    <row r="38" spans="1:59" x14ac:dyDescent="0.35">
      <c r="A38" s="4">
        <v>10</v>
      </c>
      <c r="B38" s="4" t="s">
        <v>3</v>
      </c>
      <c r="C38" s="4">
        <v>4</v>
      </c>
      <c r="D38" s="4">
        <v>4</v>
      </c>
      <c r="E38" s="4">
        <v>1.5</v>
      </c>
      <c r="F38" s="4">
        <v>1</v>
      </c>
      <c r="G38" s="4">
        <f t="shared" si="0"/>
        <v>-0.5</v>
      </c>
      <c r="H38" s="8">
        <f t="shared" si="1"/>
        <v>-33.333333333333329</v>
      </c>
      <c r="I38" s="4">
        <f t="shared" si="2"/>
        <v>0.9375</v>
      </c>
      <c r="J38" s="4">
        <f t="shared" si="3"/>
        <v>0.42695628191498325</v>
      </c>
      <c r="K38" s="4">
        <f t="shared" ref="K38" si="33">(F38-I38)/J38</f>
        <v>0.14638501094227999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</row>
    <row r="39" spans="1:59" x14ac:dyDescent="0.35">
      <c r="A39" s="4">
        <v>10</v>
      </c>
      <c r="B39" s="4" t="s">
        <v>4</v>
      </c>
      <c r="C39" s="4">
        <v>4</v>
      </c>
      <c r="D39" s="4">
        <v>3</v>
      </c>
      <c r="E39" s="4">
        <v>1.5</v>
      </c>
      <c r="F39" s="4">
        <v>0.5</v>
      </c>
      <c r="G39" s="4">
        <f t="shared" si="0"/>
        <v>-1</v>
      </c>
      <c r="H39" s="8">
        <f t="shared" si="1"/>
        <v>-66.666666666666657</v>
      </c>
      <c r="I39" s="4"/>
      <c r="J39" s="4"/>
      <c r="K39" s="4">
        <f t="shared" ref="K39" si="34">(F39-I38)/J38</f>
        <v>-1.0246950765959599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</row>
    <row r="40" spans="1:59" x14ac:dyDescent="0.35">
      <c r="A40" s="4">
        <v>10</v>
      </c>
      <c r="B40" s="4" t="s">
        <v>5</v>
      </c>
      <c r="C40" s="4">
        <v>4</v>
      </c>
      <c r="D40" s="4">
        <v>2</v>
      </c>
      <c r="E40" s="4">
        <v>1.5</v>
      </c>
      <c r="F40" s="4">
        <v>0.75</v>
      </c>
      <c r="G40" s="4">
        <f t="shared" si="0"/>
        <v>-0.75</v>
      </c>
      <c r="H40" s="8">
        <f t="shared" si="1"/>
        <v>-50</v>
      </c>
      <c r="I40" s="4"/>
      <c r="J40" s="4"/>
      <c r="K40" s="4">
        <f t="shared" ref="K40" si="35">(F40-I38)/J38</f>
        <v>-0.43915503282683993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</row>
    <row r="41" spans="1:59" x14ac:dyDescent="0.35">
      <c r="A41" s="4">
        <v>10</v>
      </c>
      <c r="B41" s="4" t="s">
        <v>6</v>
      </c>
      <c r="C41" s="4">
        <v>4</v>
      </c>
      <c r="D41" s="4">
        <v>1</v>
      </c>
      <c r="E41" s="4">
        <v>1.5</v>
      </c>
      <c r="F41" s="4">
        <v>1.5</v>
      </c>
      <c r="G41" s="4">
        <f t="shared" si="0"/>
        <v>0</v>
      </c>
      <c r="H41" s="8">
        <f t="shared" si="1"/>
        <v>0</v>
      </c>
      <c r="I41" s="4"/>
      <c r="J41" s="4"/>
      <c r="K41" s="4">
        <f t="shared" ref="K41" si="36">(F41-I38)/J38</f>
        <v>1.3174650984805198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</row>
    <row r="42" spans="1:59" s="12" customFormat="1" x14ac:dyDescent="0.35">
      <c r="A42" s="10">
        <v>11</v>
      </c>
      <c r="B42" s="10" t="s">
        <v>3</v>
      </c>
      <c r="C42" s="10">
        <v>3</v>
      </c>
      <c r="D42" s="10">
        <v>3</v>
      </c>
      <c r="E42" s="10">
        <v>1</v>
      </c>
      <c r="F42" s="10">
        <v>0.5</v>
      </c>
      <c r="G42" s="10">
        <f t="shared" si="0"/>
        <v>-0.5</v>
      </c>
      <c r="H42" s="11">
        <f t="shared" si="1"/>
        <v>-50</v>
      </c>
      <c r="I42" s="10">
        <f t="shared" si="2"/>
        <v>0.5</v>
      </c>
      <c r="J42" s="10">
        <f t="shared" si="3"/>
        <v>0</v>
      </c>
      <c r="K42" s="10" t="e">
        <f t="shared" ref="K42" si="37">(F42-I42)/J42</f>
        <v>#DIV/0!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</row>
    <row r="43" spans="1:59" s="12" customFormat="1" x14ac:dyDescent="0.35">
      <c r="A43" s="10">
        <v>11</v>
      </c>
      <c r="B43" s="10" t="s">
        <v>4</v>
      </c>
      <c r="C43" s="10">
        <v>3</v>
      </c>
      <c r="D43" s="10">
        <v>4</v>
      </c>
      <c r="E43" s="10">
        <v>1</v>
      </c>
      <c r="F43" s="10">
        <v>0.5</v>
      </c>
      <c r="G43" s="10">
        <f t="shared" si="0"/>
        <v>-0.5</v>
      </c>
      <c r="H43" s="11">
        <f t="shared" si="1"/>
        <v>-50</v>
      </c>
      <c r="I43" s="10"/>
      <c r="J43" s="10"/>
      <c r="K43" s="10" t="e">
        <f t="shared" ref="K43" si="38">(F43-I42)/J42</f>
        <v>#DIV/0!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</row>
    <row r="44" spans="1:59" s="12" customFormat="1" x14ac:dyDescent="0.35">
      <c r="A44" s="10">
        <v>11</v>
      </c>
      <c r="B44" s="10" t="s">
        <v>5</v>
      </c>
      <c r="C44" s="10">
        <v>3</v>
      </c>
      <c r="D44" s="10">
        <v>1</v>
      </c>
      <c r="E44" s="10">
        <v>1</v>
      </c>
      <c r="F44" s="10">
        <v>0.5</v>
      </c>
      <c r="G44" s="10">
        <f t="shared" si="0"/>
        <v>-0.5</v>
      </c>
      <c r="H44" s="11">
        <f t="shared" si="1"/>
        <v>-50</v>
      </c>
      <c r="I44" s="10"/>
      <c r="J44" s="10"/>
      <c r="K44" s="10" t="e">
        <f t="shared" ref="K44" si="39">(F44-I42)/J42</f>
        <v>#DIV/0!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</row>
    <row r="45" spans="1:59" s="12" customFormat="1" x14ac:dyDescent="0.35">
      <c r="A45" s="10">
        <v>11</v>
      </c>
      <c r="B45" s="10" t="s">
        <v>6</v>
      </c>
      <c r="C45" s="10">
        <v>3</v>
      </c>
      <c r="D45" s="10">
        <v>2</v>
      </c>
      <c r="E45" s="10">
        <v>1</v>
      </c>
      <c r="F45" s="10">
        <v>0.5</v>
      </c>
      <c r="G45" s="10">
        <f t="shared" si="0"/>
        <v>-0.5</v>
      </c>
      <c r="H45" s="11">
        <f t="shared" si="1"/>
        <v>-50</v>
      </c>
      <c r="I45" s="10"/>
      <c r="J45" s="10"/>
      <c r="K45" s="10" t="e">
        <f t="shared" ref="K45" si="40">(F45-I42)/J42</f>
        <v>#DIV/0!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</row>
    <row r="46" spans="1:59" x14ac:dyDescent="0.35">
      <c r="A46" s="4">
        <v>12</v>
      </c>
      <c r="B46" s="4" t="s">
        <v>3</v>
      </c>
      <c r="C46" s="4">
        <v>3</v>
      </c>
      <c r="D46" s="4">
        <v>3</v>
      </c>
      <c r="E46" s="4">
        <v>5</v>
      </c>
      <c r="F46" s="4">
        <v>4</v>
      </c>
      <c r="G46" s="4">
        <f t="shared" si="0"/>
        <v>-1</v>
      </c>
      <c r="H46" s="8">
        <f t="shared" si="1"/>
        <v>-20</v>
      </c>
      <c r="I46" s="4">
        <f t="shared" si="2"/>
        <v>3.125</v>
      </c>
      <c r="J46" s="4">
        <f t="shared" si="3"/>
        <v>0.8539125638299665</v>
      </c>
      <c r="K46" s="4">
        <f t="shared" ref="K46" si="41">(F46-I46)/J46</f>
        <v>1.0246950765959599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</row>
    <row r="47" spans="1:59" x14ac:dyDescent="0.35">
      <c r="A47" s="4">
        <v>12</v>
      </c>
      <c r="B47" s="4" t="s">
        <v>4</v>
      </c>
      <c r="C47" s="4">
        <v>3</v>
      </c>
      <c r="D47" s="4">
        <v>4</v>
      </c>
      <c r="E47" s="4">
        <v>5</v>
      </c>
      <c r="F47" s="4">
        <v>3</v>
      </c>
      <c r="G47" s="4">
        <f t="shared" si="0"/>
        <v>-2</v>
      </c>
      <c r="H47" s="8">
        <f t="shared" si="1"/>
        <v>-40</v>
      </c>
      <c r="I47" s="4"/>
      <c r="J47" s="4"/>
      <c r="K47" s="4">
        <f t="shared" ref="K47" si="42">(F47-I46)/J46</f>
        <v>-0.14638501094227999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</row>
    <row r="48" spans="1:59" x14ac:dyDescent="0.35">
      <c r="A48" s="4">
        <v>12</v>
      </c>
      <c r="B48" s="4" t="s">
        <v>5</v>
      </c>
      <c r="C48" s="4">
        <v>3</v>
      </c>
      <c r="D48" s="4">
        <v>1</v>
      </c>
      <c r="E48" s="4">
        <v>5</v>
      </c>
      <c r="F48" s="4">
        <v>2</v>
      </c>
      <c r="G48" s="4">
        <f t="shared" si="0"/>
        <v>-3</v>
      </c>
      <c r="H48" s="8">
        <f t="shared" si="1"/>
        <v>-60</v>
      </c>
      <c r="I48" s="4"/>
      <c r="J48" s="4"/>
      <c r="K48" s="4">
        <f t="shared" ref="K48" si="43">(F48-I46)/J46</f>
        <v>-1.3174650984805198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</row>
    <row r="49" spans="1:59" x14ac:dyDescent="0.35">
      <c r="A49" s="4">
        <v>12</v>
      </c>
      <c r="B49" s="4" t="s">
        <v>6</v>
      </c>
      <c r="C49" s="4">
        <v>3</v>
      </c>
      <c r="D49" s="4">
        <v>2</v>
      </c>
      <c r="E49" s="4">
        <v>5</v>
      </c>
      <c r="F49" s="4">
        <v>3.5</v>
      </c>
      <c r="G49" s="4">
        <f t="shared" si="0"/>
        <v>-1.5</v>
      </c>
      <c r="H49" s="8">
        <f t="shared" si="1"/>
        <v>-30</v>
      </c>
      <c r="I49" s="4"/>
      <c r="J49" s="4"/>
      <c r="K49" s="4">
        <f t="shared" ref="K49" si="44">(F49-I46)/J46</f>
        <v>0.43915503282683993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</row>
    <row r="50" spans="1:59" s="12" customFormat="1" x14ac:dyDescent="0.35">
      <c r="A50" s="10">
        <v>13</v>
      </c>
      <c r="B50" s="10" t="s">
        <v>3</v>
      </c>
      <c r="C50" s="10">
        <v>1</v>
      </c>
      <c r="D50" s="10">
        <v>1</v>
      </c>
      <c r="E50" s="10">
        <v>4.5</v>
      </c>
      <c r="F50" s="10">
        <v>3</v>
      </c>
      <c r="G50" s="10">
        <f t="shared" si="0"/>
        <v>-1.5</v>
      </c>
      <c r="H50" s="11">
        <f t="shared" si="1"/>
        <v>-33.333333333333329</v>
      </c>
      <c r="I50" s="10">
        <f t="shared" si="2"/>
        <v>2.75</v>
      </c>
      <c r="J50" s="10">
        <f t="shared" si="3"/>
        <v>0.5</v>
      </c>
      <c r="K50" s="10">
        <f t="shared" ref="K50" si="45">(F50-I50)/J50</f>
        <v>0.5</v>
      </c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</row>
    <row r="51" spans="1:59" s="12" customFormat="1" x14ac:dyDescent="0.35">
      <c r="A51" s="10">
        <v>13</v>
      </c>
      <c r="B51" s="10" t="s">
        <v>4</v>
      </c>
      <c r="C51" s="10">
        <v>1</v>
      </c>
      <c r="D51" s="10">
        <v>2</v>
      </c>
      <c r="E51" s="10">
        <v>4.5</v>
      </c>
      <c r="F51" s="10">
        <v>3</v>
      </c>
      <c r="G51" s="10">
        <f t="shared" si="0"/>
        <v>-1.5</v>
      </c>
      <c r="H51" s="11">
        <f t="shared" si="1"/>
        <v>-33.333333333333329</v>
      </c>
      <c r="I51" s="10"/>
      <c r="J51" s="10"/>
      <c r="K51" s="10">
        <f t="shared" ref="K51" si="46">(F51-I50)/J50</f>
        <v>0.5</v>
      </c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</row>
    <row r="52" spans="1:59" s="12" customFormat="1" x14ac:dyDescent="0.35">
      <c r="A52" s="10">
        <v>13</v>
      </c>
      <c r="B52" s="10" t="s">
        <v>5</v>
      </c>
      <c r="C52" s="10">
        <v>1</v>
      </c>
      <c r="D52" s="10">
        <v>3</v>
      </c>
      <c r="E52" s="10">
        <v>4.5</v>
      </c>
      <c r="F52" s="10">
        <v>2</v>
      </c>
      <c r="G52" s="10">
        <f t="shared" si="0"/>
        <v>-2.5</v>
      </c>
      <c r="H52" s="11">
        <f t="shared" si="1"/>
        <v>-55.555555555555557</v>
      </c>
      <c r="I52" s="10"/>
      <c r="J52" s="10"/>
      <c r="K52" s="10">
        <f t="shared" ref="K52" si="47">(F52-I50)/J50</f>
        <v>-1.5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</row>
    <row r="53" spans="1:59" s="12" customFormat="1" x14ac:dyDescent="0.35">
      <c r="A53" s="10">
        <v>13</v>
      </c>
      <c r="B53" s="10" t="s">
        <v>6</v>
      </c>
      <c r="C53" s="10">
        <v>1</v>
      </c>
      <c r="D53" s="10">
        <v>4</v>
      </c>
      <c r="E53" s="10">
        <v>4.5</v>
      </c>
      <c r="F53" s="10">
        <v>3</v>
      </c>
      <c r="G53" s="10">
        <f t="shared" si="0"/>
        <v>-1.5</v>
      </c>
      <c r="H53" s="11">
        <f t="shared" si="1"/>
        <v>-33.333333333333329</v>
      </c>
      <c r="I53" s="10"/>
      <c r="J53" s="10"/>
      <c r="K53" s="10">
        <f t="shared" ref="K53" si="48">(F53-I50)/J50</f>
        <v>0.5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</row>
    <row r="54" spans="1:59" x14ac:dyDescent="0.35">
      <c r="A54" s="4">
        <v>14</v>
      </c>
      <c r="B54" s="4" t="s">
        <v>3</v>
      </c>
      <c r="C54" s="4">
        <v>3</v>
      </c>
      <c r="D54" s="4">
        <v>3</v>
      </c>
      <c r="E54" s="4">
        <v>1.3</v>
      </c>
      <c r="F54" s="4">
        <v>1.3</v>
      </c>
      <c r="G54" s="4">
        <f t="shared" si="0"/>
        <v>0</v>
      </c>
      <c r="H54" s="8">
        <f t="shared" si="1"/>
        <v>0</v>
      </c>
      <c r="I54" s="4">
        <f t="shared" si="2"/>
        <v>0.85</v>
      </c>
      <c r="J54" s="4">
        <f t="shared" si="3"/>
        <v>0.38729833462074198</v>
      </c>
      <c r="K54" s="4">
        <f t="shared" ref="K54" si="49">(F54-I54)/J54</f>
        <v>1.1618950038622244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</row>
    <row r="55" spans="1:59" x14ac:dyDescent="0.35">
      <c r="A55" s="4">
        <v>14</v>
      </c>
      <c r="B55" s="4" t="s">
        <v>4</v>
      </c>
      <c r="C55" s="4">
        <v>3</v>
      </c>
      <c r="D55" s="4">
        <v>4</v>
      </c>
      <c r="E55" s="4">
        <v>1.3</v>
      </c>
      <c r="F55" s="4">
        <v>1</v>
      </c>
      <c r="G55" s="4">
        <f t="shared" si="0"/>
        <v>-0.30000000000000004</v>
      </c>
      <c r="H55" s="8">
        <f t="shared" si="1"/>
        <v>-23.076923076923077</v>
      </c>
      <c r="I55" s="4"/>
      <c r="J55" s="4"/>
      <c r="K55" s="4">
        <f t="shared" ref="K55" si="50">(F55-I54)/J54</f>
        <v>0.38729833462074148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</row>
    <row r="56" spans="1:59" x14ac:dyDescent="0.35">
      <c r="A56" s="4">
        <v>14</v>
      </c>
      <c r="B56" s="4" t="s">
        <v>5</v>
      </c>
      <c r="C56" s="4">
        <v>3</v>
      </c>
      <c r="D56" s="4">
        <v>1</v>
      </c>
      <c r="E56" s="4">
        <v>1.3</v>
      </c>
      <c r="F56" s="4">
        <v>0.7</v>
      </c>
      <c r="G56" s="4">
        <f t="shared" si="0"/>
        <v>-0.60000000000000009</v>
      </c>
      <c r="H56" s="8">
        <f t="shared" si="1"/>
        <v>-46.153846153846153</v>
      </c>
      <c r="I56" s="4"/>
      <c r="J56" s="4"/>
      <c r="K56" s="4">
        <f t="shared" ref="K56" si="51">(F56-I54)/J54</f>
        <v>-0.38729833462074148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</row>
    <row r="57" spans="1:59" x14ac:dyDescent="0.35">
      <c r="A57" s="4">
        <v>14</v>
      </c>
      <c r="B57" s="4" t="s">
        <v>6</v>
      </c>
      <c r="C57" s="4">
        <v>3</v>
      </c>
      <c r="D57" s="4">
        <v>2</v>
      </c>
      <c r="E57" s="4">
        <v>1.3</v>
      </c>
      <c r="F57" s="4">
        <v>0.4</v>
      </c>
      <c r="G57" s="4">
        <f t="shared" si="0"/>
        <v>-0.9</v>
      </c>
      <c r="H57" s="8">
        <f t="shared" si="1"/>
        <v>-69.230769230769226</v>
      </c>
      <c r="I57" s="4"/>
      <c r="J57" s="4"/>
      <c r="K57" s="4">
        <f t="shared" ref="K57" si="52">(F57-I54)/J54</f>
        <v>-1.161895003862224</v>
      </c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</row>
    <row r="58" spans="1:59" s="12" customFormat="1" x14ac:dyDescent="0.35">
      <c r="A58" s="10">
        <v>15</v>
      </c>
      <c r="B58" s="10" t="s">
        <v>3</v>
      </c>
      <c r="C58" s="10">
        <v>1</v>
      </c>
      <c r="D58" s="10">
        <v>1</v>
      </c>
      <c r="E58" s="10">
        <v>1.3</v>
      </c>
      <c r="F58" s="10">
        <v>0.4</v>
      </c>
      <c r="G58" s="10">
        <f t="shared" si="0"/>
        <v>-0.9</v>
      </c>
      <c r="H58" s="11">
        <f t="shared" si="1"/>
        <v>-69.230769230769226</v>
      </c>
      <c r="I58" s="10">
        <f t="shared" si="2"/>
        <v>0.85000000000000009</v>
      </c>
      <c r="J58" s="10">
        <f t="shared" si="3"/>
        <v>0.34156502553198642</v>
      </c>
      <c r="K58" s="10">
        <f t="shared" ref="K58" si="53">(F58-I58)/J58</f>
        <v>-1.3174650984805207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</row>
    <row r="59" spans="1:59" s="12" customFormat="1" x14ac:dyDescent="0.35">
      <c r="A59" s="10">
        <v>15</v>
      </c>
      <c r="B59" s="10" t="s">
        <v>4</v>
      </c>
      <c r="C59" s="10">
        <v>1</v>
      </c>
      <c r="D59" s="10">
        <v>2</v>
      </c>
      <c r="E59" s="10">
        <v>1.3</v>
      </c>
      <c r="F59" s="10">
        <v>1.2</v>
      </c>
      <c r="G59" s="10">
        <f t="shared" si="0"/>
        <v>-0.10000000000000009</v>
      </c>
      <c r="H59" s="11">
        <f t="shared" si="1"/>
        <v>-7.6923076923076987</v>
      </c>
      <c r="I59" s="10"/>
      <c r="J59" s="10"/>
      <c r="K59" s="10">
        <f t="shared" ref="K59" si="54">(F59-I58)/J58</f>
        <v>1.0246950765959599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</row>
    <row r="60" spans="1:59" s="12" customFormat="1" x14ac:dyDescent="0.35">
      <c r="A60" s="10">
        <v>15</v>
      </c>
      <c r="B60" s="10" t="s">
        <v>5</v>
      </c>
      <c r="C60" s="10">
        <v>1</v>
      </c>
      <c r="D60" s="10">
        <v>3</v>
      </c>
      <c r="E60" s="10">
        <v>1.3</v>
      </c>
      <c r="F60" s="10">
        <v>1</v>
      </c>
      <c r="G60" s="10">
        <f t="shared" si="0"/>
        <v>-0.30000000000000004</v>
      </c>
      <c r="H60" s="11">
        <f t="shared" si="1"/>
        <v>-23.076923076923077</v>
      </c>
      <c r="I60" s="10"/>
      <c r="J60" s="10"/>
      <c r="K60" s="10">
        <f t="shared" ref="K60" si="55">(F60-I58)/J58</f>
        <v>0.43915503282683993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</row>
    <row r="61" spans="1:59" s="12" customFormat="1" x14ac:dyDescent="0.35">
      <c r="A61" s="10">
        <v>15</v>
      </c>
      <c r="B61" s="10" t="s">
        <v>6</v>
      </c>
      <c r="C61" s="10">
        <v>1</v>
      </c>
      <c r="D61" s="10">
        <v>4</v>
      </c>
      <c r="E61" s="10">
        <v>1.3</v>
      </c>
      <c r="F61" s="10">
        <v>0.8</v>
      </c>
      <c r="G61" s="10">
        <f t="shared" si="0"/>
        <v>-0.5</v>
      </c>
      <c r="H61" s="11">
        <f t="shared" si="1"/>
        <v>-38.46153846153846</v>
      </c>
      <c r="I61" s="10"/>
      <c r="J61" s="10"/>
      <c r="K61" s="10">
        <f t="shared" ref="K61" si="56">(F61-I58)/J58</f>
        <v>-0.14638501094228018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</row>
    <row r="62" spans="1:59" x14ac:dyDescent="0.35">
      <c r="A62" s="4">
        <v>16</v>
      </c>
      <c r="B62" s="4" t="s">
        <v>3</v>
      </c>
      <c r="C62" s="4">
        <v>2</v>
      </c>
      <c r="D62" s="4">
        <v>2</v>
      </c>
      <c r="E62" s="4">
        <v>4</v>
      </c>
      <c r="F62" s="4">
        <v>1.5</v>
      </c>
      <c r="G62" s="4">
        <f t="shared" si="0"/>
        <v>-2.5</v>
      </c>
      <c r="H62" s="8">
        <f t="shared" si="1"/>
        <v>-62.5</v>
      </c>
      <c r="I62" s="4">
        <f t="shared" si="2"/>
        <v>1.425</v>
      </c>
      <c r="J62" s="4">
        <f t="shared" si="3"/>
        <v>0.43493294502332924</v>
      </c>
      <c r="K62" s="4">
        <f t="shared" ref="K62" si="57">(F62-I62)/J62</f>
        <v>0.1724403746788532</v>
      </c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</row>
    <row r="63" spans="1:59" x14ac:dyDescent="0.35">
      <c r="A63" s="4">
        <v>16</v>
      </c>
      <c r="B63" s="4" t="s">
        <v>4</v>
      </c>
      <c r="C63" s="4">
        <v>2</v>
      </c>
      <c r="D63" s="4">
        <v>1</v>
      </c>
      <c r="E63" s="4">
        <v>4</v>
      </c>
      <c r="F63" s="4">
        <v>2</v>
      </c>
      <c r="G63" s="4">
        <f t="shared" si="0"/>
        <v>-2</v>
      </c>
      <c r="H63" s="8">
        <f t="shared" si="1"/>
        <v>-50</v>
      </c>
      <c r="I63" s="4"/>
      <c r="J63" s="4"/>
      <c r="K63" s="4">
        <f t="shared" ref="K63" si="58">(F63-I62)/J62</f>
        <v>1.3220428725378752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</row>
    <row r="64" spans="1:59" x14ac:dyDescent="0.35">
      <c r="A64" s="4">
        <v>16</v>
      </c>
      <c r="B64" s="4" t="s">
        <v>5</v>
      </c>
      <c r="C64" s="4">
        <v>2</v>
      </c>
      <c r="D64" s="4">
        <v>4</v>
      </c>
      <c r="E64" s="4">
        <v>4</v>
      </c>
      <c r="F64" s="4">
        <v>1.2</v>
      </c>
      <c r="G64" s="4">
        <f t="shared" si="0"/>
        <v>-2.8</v>
      </c>
      <c r="H64" s="8">
        <f t="shared" si="1"/>
        <v>-70</v>
      </c>
      <c r="I64" s="4"/>
      <c r="J64" s="4"/>
      <c r="K64" s="4">
        <f t="shared" ref="K64" si="59">(F64-I62)/J62</f>
        <v>-0.51732112403656016</v>
      </c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</row>
    <row r="65" spans="1:59" x14ac:dyDescent="0.35">
      <c r="A65" s="4">
        <v>16</v>
      </c>
      <c r="B65" s="4" t="s">
        <v>6</v>
      </c>
      <c r="C65" s="4">
        <v>2</v>
      </c>
      <c r="D65" s="4">
        <v>3</v>
      </c>
      <c r="E65" s="4">
        <v>4</v>
      </c>
      <c r="F65" s="4">
        <v>1</v>
      </c>
      <c r="G65" s="4">
        <f t="shared" si="0"/>
        <v>-3</v>
      </c>
      <c r="H65" s="8">
        <f t="shared" si="1"/>
        <v>-75</v>
      </c>
      <c r="I65" s="4"/>
      <c r="J65" s="4"/>
      <c r="K65" s="4">
        <f t="shared" ref="K65" si="60">(F65-I62)/J62</f>
        <v>-0.97716212318016882</v>
      </c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</row>
    <row r="66" spans="1:59" s="12" customFormat="1" x14ac:dyDescent="0.35">
      <c r="A66" s="10">
        <v>17</v>
      </c>
      <c r="B66" s="10" t="s">
        <v>3</v>
      </c>
      <c r="C66" s="10">
        <v>4</v>
      </c>
      <c r="D66" s="10">
        <v>4</v>
      </c>
      <c r="E66" s="10">
        <v>4</v>
      </c>
      <c r="F66" s="10">
        <v>1</v>
      </c>
      <c r="G66" s="10">
        <f t="shared" si="0"/>
        <v>-3</v>
      </c>
      <c r="H66" s="11">
        <f t="shared" si="1"/>
        <v>-75</v>
      </c>
      <c r="I66" s="10">
        <f t="shared" si="2"/>
        <v>0.25</v>
      </c>
      <c r="J66" s="10">
        <f t="shared" si="3"/>
        <v>0.5</v>
      </c>
      <c r="K66" s="10">
        <f t="shared" ref="K66" si="61">(F66-I66)/J66</f>
        <v>1.5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</row>
    <row r="67" spans="1:59" s="12" customFormat="1" x14ac:dyDescent="0.35">
      <c r="A67" s="10">
        <v>17</v>
      </c>
      <c r="B67" s="10" t="s">
        <v>4</v>
      </c>
      <c r="C67" s="10">
        <v>4</v>
      </c>
      <c r="D67" s="10">
        <v>3</v>
      </c>
      <c r="E67" s="10">
        <v>4</v>
      </c>
      <c r="F67" s="10">
        <v>0</v>
      </c>
      <c r="G67" s="10">
        <f t="shared" ref="G67:G73" si="62">F67-E67</f>
        <v>-4</v>
      </c>
      <c r="H67" s="11">
        <f t="shared" ref="H67:H73" si="63">(G67/E67)*100</f>
        <v>-100</v>
      </c>
      <c r="I67" s="10"/>
      <c r="J67" s="10"/>
      <c r="K67" s="10">
        <f t="shared" ref="K67" si="64">(F67-I66)/J66</f>
        <v>-0.5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</row>
    <row r="68" spans="1:59" s="12" customFormat="1" x14ac:dyDescent="0.35">
      <c r="A68" s="10">
        <v>17</v>
      </c>
      <c r="B68" s="10" t="s">
        <v>5</v>
      </c>
      <c r="C68" s="10">
        <v>4</v>
      </c>
      <c r="D68" s="10">
        <v>2</v>
      </c>
      <c r="E68" s="10">
        <v>4</v>
      </c>
      <c r="F68" s="10">
        <v>0</v>
      </c>
      <c r="G68" s="10">
        <f t="shared" si="62"/>
        <v>-4</v>
      </c>
      <c r="H68" s="11">
        <f t="shared" si="63"/>
        <v>-100</v>
      </c>
      <c r="I68" s="10"/>
      <c r="J68" s="10"/>
      <c r="K68" s="10">
        <f t="shared" ref="K68" si="65">(F68-I66)/J66</f>
        <v>-0.5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</row>
    <row r="69" spans="1:59" s="12" customFormat="1" x14ac:dyDescent="0.35">
      <c r="A69" s="10">
        <v>17</v>
      </c>
      <c r="B69" s="10" t="s">
        <v>6</v>
      </c>
      <c r="C69" s="10">
        <v>4</v>
      </c>
      <c r="D69" s="10">
        <v>1</v>
      </c>
      <c r="E69" s="10">
        <v>4</v>
      </c>
      <c r="F69" s="10">
        <v>0</v>
      </c>
      <c r="G69" s="10">
        <f t="shared" si="62"/>
        <v>-4</v>
      </c>
      <c r="H69" s="11">
        <f t="shared" si="63"/>
        <v>-100</v>
      </c>
      <c r="I69" s="10"/>
      <c r="J69" s="10"/>
      <c r="K69" s="10">
        <f t="shared" ref="K69" si="66">(F69-I66)/J66</f>
        <v>-0.5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</row>
    <row r="70" spans="1:59" x14ac:dyDescent="0.35">
      <c r="A70" s="4">
        <v>18</v>
      </c>
      <c r="B70" s="4" t="s">
        <v>3</v>
      </c>
      <c r="C70" s="4">
        <v>3</v>
      </c>
      <c r="D70" s="4">
        <v>3</v>
      </c>
      <c r="E70" s="4">
        <v>4</v>
      </c>
      <c r="F70" s="4">
        <v>3</v>
      </c>
      <c r="G70" s="4">
        <f t="shared" si="62"/>
        <v>-1</v>
      </c>
      <c r="H70" s="8">
        <f t="shared" si="63"/>
        <v>-25</v>
      </c>
      <c r="I70" s="4">
        <f t="shared" ref="I70" si="67">AVERAGE(F70:F73)</f>
        <v>2.6875</v>
      </c>
      <c r="J70" s="4">
        <f t="shared" ref="J70" si="68">_xlfn.STDEV.S(F70:F73)</f>
        <v>0.4732423621500228</v>
      </c>
      <c r="K70" s="4">
        <f t="shared" ref="K70" si="69">(F70-I70)/J70</f>
        <v>0.66033817974421782</v>
      </c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</row>
    <row r="71" spans="1:59" x14ac:dyDescent="0.35">
      <c r="A71" s="4">
        <v>18</v>
      </c>
      <c r="B71" s="4" t="s">
        <v>4</v>
      </c>
      <c r="C71" s="4">
        <v>3</v>
      </c>
      <c r="D71" s="4">
        <v>4</v>
      </c>
      <c r="E71" s="4">
        <v>4</v>
      </c>
      <c r="F71" s="4">
        <v>3</v>
      </c>
      <c r="G71" s="4">
        <f t="shared" si="62"/>
        <v>-1</v>
      </c>
      <c r="H71" s="8">
        <f t="shared" si="63"/>
        <v>-25</v>
      </c>
      <c r="I71" s="4"/>
      <c r="J71" s="4"/>
      <c r="K71" s="4">
        <f t="shared" ref="K71" si="70">(F71-I70)/J70</f>
        <v>0.66033817974421782</v>
      </c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</row>
    <row r="72" spans="1:59" x14ac:dyDescent="0.35">
      <c r="A72" s="4">
        <v>18</v>
      </c>
      <c r="B72" s="4" t="s">
        <v>5</v>
      </c>
      <c r="C72" s="4">
        <v>3</v>
      </c>
      <c r="D72" s="4">
        <v>1</v>
      </c>
      <c r="E72" s="4">
        <v>4</v>
      </c>
      <c r="F72" s="4">
        <v>2.75</v>
      </c>
      <c r="G72" s="4">
        <f t="shared" si="62"/>
        <v>-1.25</v>
      </c>
      <c r="H72" s="8">
        <f t="shared" si="63"/>
        <v>-31.25</v>
      </c>
      <c r="I72" s="4"/>
      <c r="J72" s="4"/>
      <c r="K72" s="4">
        <f t="shared" ref="K72" si="71">(F72-I70)/J70</f>
        <v>0.13206763594884358</v>
      </c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</row>
    <row r="73" spans="1:59" x14ac:dyDescent="0.35">
      <c r="A73" s="4">
        <v>18</v>
      </c>
      <c r="B73" s="4" t="s">
        <v>6</v>
      </c>
      <c r="C73" s="4">
        <v>3</v>
      </c>
      <c r="D73" s="4">
        <v>2</v>
      </c>
      <c r="E73" s="4">
        <v>4</v>
      </c>
      <c r="F73" s="4">
        <v>2</v>
      </c>
      <c r="G73" s="4">
        <f t="shared" si="62"/>
        <v>-2</v>
      </c>
      <c r="H73" s="8">
        <f t="shared" si="63"/>
        <v>-50</v>
      </c>
      <c r="I73" s="4"/>
      <c r="J73" s="4"/>
      <c r="K73" s="4">
        <f t="shared" ref="K73" si="72">(F73-I70)/J70</f>
        <v>-1.4527439954372794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</row>
    <row r="74" spans="1:59" x14ac:dyDescent="0.3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</row>
    <row r="75" spans="1:59" x14ac:dyDescent="0.3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</row>
    <row r="76" spans="1:59" x14ac:dyDescent="0.3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</row>
    <row r="77" spans="1:59" x14ac:dyDescent="0.3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</row>
    <row r="78" spans="1:59" x14ac:dyDescent="0.3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</row>
    <row r="79" spans="1:59" x14ac:dyDescent="0.3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</row>
    <row r="80" spans="1:59" x14ac:dyDescent="0.3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</row>
    <row r="81" spans="1:59" x14ac:dyDescent="0.3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</row>
    <row r="82" spans="1:59" x14ac:dyDescent="0.3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</row>
    <row r="83" spans="1:59" x14ac:dyDescent="0.3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</row>
    <row r="84" spans="1:59" x14ac:dyDescent="0.3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</row>
    <row r="85" spans="1:59" x14ac:dyDescent="0.3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</row>
    <row r="86" spans="1:59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</row>
    <row r="87" spans="1:59" x14ac:dyDescent="0.3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</row>
    <row r="88" spans="1:59" x14ac:dyDescent="0.3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</row>
    <row r="89" spans="1:59" x14ac:dyDescent="0.3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</row>
    <row r="90" spans="1:59" x14ac:dyDescent="0.3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</row>
    <row r="91" spans="1:59" x14ac:dyDescent="0.3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</row>
    <row r="92" spans="1:59" x14ac:dyDescent="0.3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</row>
    <row r="93" spans="1:59" x14ac:dyDescent="0.3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</row>
    <row r="94" spans="1:59" x14ac:dyDescent="0.3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</row>
    <row r="95" spans="1:59" x14ac:dyDescent="0.3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</row>
    <row r="96" spans="1:59" x14ac:dyDescent="0.3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</row>
    <row r="97" spans="1:59" x14ac:dyDescent="0.3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</row>
    <row r="98" spans="1:59" x14ac:dyDescent="0.3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</row>
    <row r="99" spans="1:59" x14ac:dyDescent="0.3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</row>
    <row r="100" spans="1:59" x14ac:dyDescent="0.3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</row>
    <row r="101" spans="1:59" x14ac:dyDescent="0.3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</row>
    <row r="102" spans="1:59" x14ac:dyDescent="0.3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</row>
    <row r="103" spans="1:59" x14ac:dyDescent="0.3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</row>
    <row r="104" spans="1:59" x14ac:dyDescent="0.3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</row>
    <row r="105" spans="1:59" x14ac:dyDescent="0.3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</row>
    <row r="106" spans="1:59" x14ac:dyDescent="0.3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</row>
    <row r="107" spans="1:59" x14ac:dyDescent="0.3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</row>
    <row r="108" spans="1:59" x14ac:dyDescent="0.3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</row>
    <row r="109" spans="1:59" x14ac:dyDescent="0.3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</row>
    <row r="110" spans="1:59" x14ac:dyDescent="0.3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</row>
    <row r="111" spans="1:59" x14ac:dyDescent="0.3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</row>
    <row r="112" spans="1:59" x14ac:dyDescent="0.3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</row>
    <row r="113" spans="1:59" x14ac:dyDescent="0.3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</row>
    <row r="114" spans="1:59" x14ac:dyDescent="0.3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</row>
    <row r="115" spans="1:59" x14ac:dyDescent="0.3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</row>
    <row r="116" spans="1:59" x14ac:dyDescent="0.3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</row>
    <row r="117" spans="1:59" x14ac:dyDescent="0.3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</row>
    <row r="118" spans="1:59" x14ac:dyDescent="0.3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</row>
    <row r="119" spans="1:59" x14ac:dyDescent="0.3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</row>
    <row r="120" spans="1:59" x14ac:dyDescent="0.3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</row>
    <row r="121" spans="1:59" x14ac:dyDescent="0.3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</row>
    <row r="122" spans="1:59" x14ac:dyDescent="0.3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</row>
    <row r="123" spans="1:59" x14ac:dyDescent="0.3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</row>
    <row r="124" spans="1:59" x14ac:dyDescent="0.3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</row>
    <row r="125" spans="1:59" x14ac:dyDescent="0.3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</row>
    <row r="126" spans="1:59" x14ac:dyDescent="0.3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</row>
    <row r="127" spans="1:59" x14ac:dyDescent="0.3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</row>
    <row r="128" spans="1:59" x14ac:dyDescent="0.3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</row>
    <row r="129" spans="1:59" x14ac:dyDescent="0.3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</row>
    <row r="130" spans="1:59" x14ac:dyDescent="0.3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</row>
    <row r="131" spans="1:59" x14ac:dyDescent="0.3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</row>
    <row r="132" spans="1:59" x14ac:dyDescent="0.3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</row>
    <row r="133" spans="1:59" x14ac:dyDescent="0.3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</row>
    <row r="134" spans="1:59" x14ac:dyDescent="0.3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</row>
    <row r="135" spans="1:59" x14ac:dyDescent="0.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</row>
    <row r="136" spans="1:59" x14ac:dyDescent="0.3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</row>
    <row r="137" spans="1:59" x14ac:dyDescent="0.3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</row>
    <row r="138" spans="1:59" x14ac:dyDescent="0.3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</row>
    <row r="139" spans="1:59" x14ac:dyDescent="0.3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</row>
    <row r="140" spans="1:59" x14ac:dyDescent="0.3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</row>
    <row r="141" spans="1:59" x14ac:dyDescent="0.3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</row>
    <row r="142" spans="1:59" x14ac:dyDescent="0.3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</row>
    <row r="143" spans="1:59" x14ac:dyDescent="0.3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</row>
    <row r="144" spans="1:59" x14ac:dyDescent="0.3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</row>
    <row r="145" spans="1:59" x14ac:dyDescent="0.3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</row>
    <row r="146" spans="1:59" x14ac:dyDescent="0.3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</row>
    <row r="147" spans="1:59" x14ac:dyDescent="0.3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</row>
    <row r="148" spans="1:59" x14ac:dyDescent="0.3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</row>
    <row r="149" spans="1:59" x14ac:dyDescent="0.3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</row>
    <row r="150" spans="1:59" x14ac:dyDescent="0.3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</row>
    <row r="151" spans="1:59" x14ac:dyDescent="0.3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</row>
    <row r="152" spans="1:59" x14ac:dyDescent="0.3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</row>
    <row r="153" spans="1:59" x14ac:dyDescent="0.3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</row>
    <row r="154" spans="1:59" x14ac:dyDescent="0.3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</row>
    <row r="155" spans="1:59" x14ac:dyDescent="0.3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</row>
    <row r="156" spans="1:59" x14ac:dyDescent="0.3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</row>
    <row r="157" spans="1:59" x14ac:dyDescent="0.3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</row>
    <row r="158" spans="1:59" x14ac:dyDescent="0.3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</row>
    <row r="159" spans="1:59" x14ac:dyDescent="0.3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</row>
    <row r="160" spans="1:59" x14ac:dyDescent="0.3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</row>
    <row r="161" spans="1:59" x14ac:dyDescent="0.3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</row>
    <row r="162" spans="1:59" x14ac:dyDescent="0.3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</row>
    <row r="163" spans="1:59" x14ac:dyDescent="0.3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</row>
    <row r="164" spans="1:59" x14ac:dyDescent="0.3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</row>
    <row r="165" spans="1:59" x14ac:dyDescent="0.3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</row>
    <row r="166" spans="1:59" x14ac:dyDescent="0.3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</row>
    <row r="167" spans="1:59" x14ac:dyDescent="0.3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</row>
    <row r="168" spans="1:59" x14ac:dyDescent="0.3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</row>
    <row r="169" spans="1:59" x14ac:dyDescent="0.3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</row>
    <row r="170" spans="1:59" x14ac:dyDescent="0.3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</row>
    <row r="171" spans="1:59" x14ac:dyDescent="0.3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</row>
    <row r="172" spans="1:59" x14ac:dyDescent="0.3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</row>
    <row r="173" spans="1:59" x14ac:dyDescent="0.3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</row>
    <row r="174" spans="1:59" x14ac:dyDescent="0.3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</row>
    <row r="175" spans="1:59" x14ac:dyDescent="0.3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</row>
    <row r="176" spans="1:59" x14ac:dyDescent="0.3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</row>
    <row r="177" spans="1:59" x14ac:dyDescent="0.3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</row>
    <row r="178" spans="1:59" x14ac:dyDescent="0.3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</row>
    <row r="179" spans="1:59" x14ac:dyDescent="0.3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</row>
    <row r="180" spans="1:59" x14ac:dyDescent="0.3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</row>
    <row r="181" spans="1:59" x14ac:dyDescent="0.3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</row>
    <row r="182" spans="1:59" x14ac:dyDescent="0.3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</row>
    <row r="183" spans="1:59" x14ac:dyDescent="0.3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</row>
    <row r="184" spans="1:59" x14ac:dyDescent="0.3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</row>
    <row r="185" spans="1:59" x14ac:dyDescent="0.3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</row>
    <row r="186" spans="1:59" x14ac:dyDescent="0.3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</row>
    <row r="187" spans="1:59" x14ac:dyDescent="0.3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</row>
    <row r="188" spans="1:59" x14ac:dyDescent="0.3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</row>
    <row r="189" spans="1:59" x14ac:dyDescent="0.3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</row>
    <row r="190" spans="1:59" x14ac:dyDescent="0.3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</row>
    <row r="191" spans="1:59" x14ac:dyDescent="0.3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</row>
    <row r="192" spans="1:59" x14ac:dyDescent="0.3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</row>
    <row r="193" spans="1:59" x14ac:dyDescent="0.3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</row>
    <row r="194" spans="1:59" x14ac:dyDescent="0.3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</row>
    <row r="195" spans="1:59" x14ac:dyDescent="0.3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</row>
    <row r="196" spans="1:59" x14ac:dyDescent="0.3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</row>
    <row r="197" spans="1:59" x14ac:dyDescent="0.3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</row>
    <row r="198" spans="1:59" x14ac:dyDescent="0.3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</row>
    <row r="199" spans="1:59" x14ac:dyDescent="0.3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</row>
    <row r="200" spans="1:59" x14ac:dyDescent="0.3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</row>
    <row r="201" spans="1:59" x14ac:dyDescent="0.3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</row>
    <row r="202" spans="1:59" x14ac:dyDescent="0.3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</row>
    <row r="203" spans="1:59" x14ac:dyDescent="0.3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</row>
    <row r="204" spans="1:59" x14ac:dyDescent="0.3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</row>
    <row r="205" spans="1:59" x14ac:dyDescent="0.3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</row>
    <row r="206" spans="1:59" x14ac:dyDescent="0.3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</row>
    <row r="207" spans="1:59" x14ac:dyDescent="0.3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</row>
    <row r="208" spans="1:59" x14ac:dyDescent="0.3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</row>
    <row r="209" spans="1:59" x14ac:dyDescent="0.3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</row>
    <row r="210" spans="1:59" x14ac:dyDescent="0.3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</row>
    <row r="211" spans="1:59" x14ac:dyDescent="0.3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</row>
    <row r="212" spans="1:59" x14ac:dyDescent="0.3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</row>
    <row r="213" spans="1:59" x14ac:dyDescent="0.3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</row>
    <row r="214" spans="1:59" x14ac:dyDescent="0.3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</row>
    <row r="215" spans="1:59" x14ac:dyDescent="0.3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</row>
    <row r="216" spans="1:59" x14ac:dyDescent="0.3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</row>
    <row r="217" spans="1:59" x14ac:dyDescent="0.3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</row>
    <row r="218" spans="1:59" x14ac:dyDescent="0.3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</row>
    <row r="219" spans="1:59" x14ac:dyDescent="0.3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</row>
    <row r="220" spans="1:59" x14ac:dyDescent="0.3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</row>
    <row r="221" spans="1:59" x14ac:dyDescent="0.3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</row>
    <row r="222" spans="1:59" x14ac:dyDescent="0.3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</row>
    <row r="223" spans="1:59" x14ac:dyDescent="0.3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</row>
    <row r="224" spans="1:59" x14ac:dyDescent="0.3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</row>
    <row r="225" spans="1:59" x14ac:dyDescent="0.3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</row>
    <row r="226" spans="1:59" x14ac:dyDescent="0.3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</row>
    <row r="227" spans="1:59" x14ac:dyDescent="0.3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</row>
    <row r="228" spans="1:59" x14ac:dyDescent="0.3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</row>
    <row r="229" spans="1:59" x14ac:dyDescent="0.3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</row>
    <row r="230" spans="1:59" x14ac:dyDescent="0.3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</row>
    <row r="231" spans="1:59" x14ac:dyDescent="0.3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</row>
    <row r="232" spans="1:59" x14ac:dyDescent="0.3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</row>
    <row r="233" spans="1:59" x14ac:dyDescent="0.3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</row>
    <row r="234" spans="1:59" x14ac:dyDescent="0.3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</row>
    <row r="235" spans="1:59" x14ac:dyDescent="0.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</row>
    <row r="236" spans="1:59" x14ac:dyDescent="0.3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</row>
    <row r="237" spans="1:59" x14ac:dyDescent="0.3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</row>
    <row r="238" spans="1:59" x14ac:dyDescent="0.3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</row>
    <row r="239" spans="1:59" x14ac:dyDescent="0.3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</row>
    <row r="240" spans="1:59" x14ac:dyDescent="0.3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</row>
    <row r="241" spans="1:59" x14ac:dyDescent="0.3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</row>
    <row r="242" spans="1:59" x14ac:dyDescent="0.3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</row>
    <row r="243" spans="1:59" x14ac:dyDescent="0.3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</row>
    <row r="244" spans="1:59" x14ac:dyDescent="0.3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</row>
    <row r="245" spans="1:59" x14ac:dyDescent="0.3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</row>
    <row r="246" spans="1:59" x14ac:dyDescent="0.3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</row>
    <row r="247" spans="1:59" x14ac:dyDescent="0.3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</row>
    <row r="248" spans="1:59" x14ac:dyDescent="0.3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</row>
    <row r="249" spans="1:59" x14ac:dyDescent="0.3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</row>
    <row r="250" spans="1:59" x14ac:dyDescent="0.3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</row>
    <row r="251" spans="1:59" x14ac:dyDescent="0.3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</row>
    <row r="252" spans="1:59" x14ac:dyDescent="0.3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</row>
    <row r="253" spans="1:59" x14ac:dyDescent="0.3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</row>
    <row r="254" spans="1:59" x14ac:dyDescent="0.3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</row>
    <row r="255" spans="1:59" x14ac:dyDescent="0.3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</row>
    <row r="256" spans="1:59" x14ac:dyDescent="0.3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</row>
    <row r="257" spans="1:59" x14ac:dyDescent="0.3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</row>
    <row r="258" spans="1:59" x14ac:dyDescent="0.3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</row>
    <row r="259" spans="1:59" x14ac:dyDescent="0.3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</row>
    <row r="260" spans="1:59" x14ac:dyDescent="0.3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</row>
    <row r="261" spans="1:59" x14ac:dyDescent="0.3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</row>
    <row r="262" spans="1:59" x14ac:dyDescent="0.3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</row>
    <row r="263" spans="1:59" x14ac:dyDescent="0.3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</row>
    <row r="264" spans="1:59" x14ac:dyDescent="0.3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</row>
    <row r="265" spans="1:59" x14ac:dyDescent="0.3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</row>
    <row r="266" spans="1:59" x14ac:dyDescent="0.3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</row>
    <row r="267" spans="1:59" x14ac:dyDescent="0.3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</row>
    <row r="268" spans="1:59" x14ac:dyDescent="0.3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</row>
    <row r="269" spans="1:59" x14ac:dyDescent="0.3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</row>
    <row r="270" spans="1:59" x14ac:dyDescent="0.3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</row>
    <row r="271" spans="1:59" x14ac:dyDescent="0.3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</row>
    <row r="272" spans="1:59" x14ac:dyDescent="0.3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</row>
    <row r="273" spans="1:59" x14ac:dyDescent="0.3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</row>
    <row r="274" spans="1:59" x14ac:dyDescent="0.3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</row>
    <row r="275" spans="1:59" x14ac:dyDescent="0.3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</row>
    <row r="276" spans="1:59" x14ac:dyDescent="0.3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</row>
    <row r="277" spans="1:59" x14ac:dyDescent="0.3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</row>
    <row r="278" spans="1:59" x14ac:dyDescent="0.3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</row>
    <row r="279" spans="1:59" x14ac:dyDescent="0.3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</row>
    <row r="280" spans="1:59" x14ac:dyDescent="0.3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</row>
    <row r="281" spans="1:59" x14ac:dyDescent="0.3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</row>
    <row r="282" spans="1:59" x14ac:dyDescent="0.3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</row>
    <row r="283" spans="1:59" x14ac:dyDescent="0.3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</row>
    <row r="284" spans="1:59" x14ac:dyDescent="0.3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</row>
    <row r="285" spans="1:59" x14ac:dyDescent="0.3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</row>
    <row r="286" spans="1:59" x14ac:dyDescent="0.3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</row>
    <row r="287" spans="1:59" x14ac:dyDescent="0.3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</row>
    <row r="288" spans="1:59" x14ac:dyDescent="0.3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</row>
    <row r="289" spans="1:59" x14ac:dyDescent="0.3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</row>
    <row r="290" spans="1:59" x14ac:dyDescent="0.3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</row>
    <row r="291" spans="1:59" x14ac:dyDescent="0.3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</row>
    <row r="292" spans="1:59" x14ac:dyDescent="0.3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</row>
    <row r="293" spans="1:59" x14ac:dyDescent="0.3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</row>
    <row r="294" spans="1:59" x14ac:dyDescent="0.3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</row>
    <row r="295" spans="1:59" x14ac:dyDescent="0.3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</row>
    <row r="296" spans="1:59" x14ac:dyDescent="0.3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</row>
    <row r="297" spans="1:59" x14ac:dyDescent="0.3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</row>
    <row r="298" spans="1:59" x14ac:dyDescent="0.3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</row>
    <row r="299" spans="1:59" x14ac:dyDescent="0.3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</row>
    <row r="300" spans="1:59" x14ac:dyDescent="0.3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</row>
    <row r="301" spans="1:59" x14ac:dyDescent="0.3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</row>
    <row r="302" spans="1:59" x14ac:dyDescent="0.3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</row>
    <row r="303" spans="1:59" x14ac:dyDescent="0.3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</row>
    <row r="304" spans="1:59" x14ac:dyDescent="0.3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</row>
    <row r="305" spans="1:59" x14ac:dyDescent="0.3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</row>
    <row r="306" spans="1:59" x14ac:dyDescent="0.3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</row>
    <row r="307" spans="1:59" x14ac:dyDescent="0.3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</row>
    <row r="308" spans="1:59" x14ac:dyDescent="0.3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</row>
    <row r="309" spans="1:59" x14ac:dyDescent="0.3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</row>
    <row r="310" spans="1:59" x14ac:dyDescent="0.3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</row>
    <row r="311" spans="1:59" x14ac:dyDescent="0.3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</row>
    <row r="312" spans="1:59" x14ac:dyDescent="0.3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</row>
    <row r="313" spans="1:59" x14ac:dyDescent="0.3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</row>
    <row r="314" spans="1:59" x14ac:dyDescent="0.3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</row>
    <row r="315" spans="1:59" x14ac:dyDescent="0.3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</row>
    <row r="316" spans="1:59" x14ac:dyDescent="0.3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</row>
    <row r="317" spans="1:59" x14ac:dyDescent="0.3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</row>
    <row r="318" spans="1:59" x14ac:dyDescent="0.3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</row>
    <row r="319" spans="1:59" x14ac:dyDescent="0.3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</row>
    <row r="320" spans="1:59" x14ac:dyDescent="0.3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</row>
    <row r="321" spans="1:59" x14ac:dyDescent="0.3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</row>
    <row r="322" spans="1:59" x14ac:dyDescent="0.3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</row>
    <row r="323" spans="1:59" x14ac:dyDescent="0.3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</row>
    <row r="324" spans="1:59" x14ac:dyDescent="0.3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</row>
    <row r="325" spans="1:59" x14ac:dyDescent="0.3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</row>
    <row r="326" spans="1:59" x14ac:dyDescent="0.3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</row>
    <row r="327" spans="1:59" x14ac:dyDescent="0.3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</row>
    <row r="328" spans="1:59" x14ac:dyDescent="0.3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</row>
    <row r="329" spans="1:59" x14ac:dyDescent="0.3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</row>
    <row r="330" spans="1:59" x14ac:dyDescent="0.3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</row>
    <row r="331" spans="1:59" x14ac:dyDescent="0.3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</row>
    <row r="332" spans="1:59" x14ac:dyDescent="0.3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</row>
    <row r="333" spans="1:59" x14ac:dyDescent="0.3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</row>
    <row r="334" spans="1:59" x14ac:dyDescent="0.3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</row>
    <row r="335" spans="1:59" x14ac:dyDescent="0.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</row>
    <row r="336" spans="1:59" x14ac:dyDescent="0.3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</row>
    <row r="337" spans="1:59" x14ac:dyDescent="0.3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</row>
    <row r="338" spans="1:59" x14ac:dyDescent="0.3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</row>
    <row r="339" spans="1:59" x14ac:dyDescent="0.3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</row>
    <row r="340" spans="1:59" x14ac:dyDescent="0.3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</row>
    <row r="341" spans="1:59" x14ac:dyDescent="0.3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</row>
    <row r="342" spans="1:59" x14ac:dyDescent="0.3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</row>
  </sheetData>
  <conditionalFormatting sqref="H2:H73">
    <cfRule type="colorScale" priority="1">
      <colorScale>
        <cfvo type="min"/>
        <cfvo type="num" val="0"/>
        <cfvo type="max"/>
        <color rgb="FF00B050"/>
        <color rgb="FFFFEB84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B33AD-1947-4552-AD09-6258E9EEE909}">
  <dimension ref="A1:AA73"/>
  <sheetViews>
    <sheetView workbookViewId="0">
      <selection activeCell="AA2" sqref="AA2"/>
    </sheetView>
  </sheetViews>
  <sheetFormatPr defaultRowHeight="14.5" x14ac:dyDescent="0.35"/>
  <cols>
    <col min="27" max="27" width="14.54296875" customWidth="1"/>
  </cols>
  <sheetData>
    <row r="1" spans="1:27" x14ac:dyDescent="0.35">
      <c r="A1" s="13" t="s">
        <v>0</v>
      </c>
      <c r="B1" s="13" t="s">
        <v>1</v>
      </c>
      <c r="C1" s="13" t="s">
        <v>2</v>
      </c>
      <c r="D1" s="13" t="s">
        <v>7</v>
      </c>
      <c r="E1" s="14" t="s">
        <v>20</v>
      </c>
      <c r="F1" s="14" t="s">
        <v>21</v>
      </c>
      <c r="G1" s="14" t="s">
        <v>22</v>
      </c>
      <c r="H1" s="14" t="s">
        <v>23</v>
      </c>
      <c r="I1" s="14" t="s">
        <v>24</v>
      </c>
      <c r="J1" s="14" t="s">
        <v>25</v>
      </c>
      <c r="K1" s="14" t="s">
        <v>26</v>
      </c>
      <c r="L1" s="14" t="s">
        <v>27</v>
      </c>
      <c r="M1" s="14" t="s">
        <v>28</v>
      </c>
      <c r="N1" s="14" t="s">
        <v>29</v>
      </c>
      <c r="O1" s="14" t="s">
        <v>30</v>
      </c>
      <c r="P1" s="14" t="s">
        <v>31</v>
      </c>
      <c r="Q1" s="14" t="s">
        <v>32</v>
      </c>
      <c r="R1" s="14" t="s">
        <v>33</v>
      </c>
      <c r="S1" s="14" t="s">
        <v>34</v>
      </c>
      <c r="T1" s="14" t="s">
        <v>35</v>
      </c>
      <c r="U1" s="14" t="s">
        <v>36</v>
      </c>
      <c r="V1" s="14" t="s">
        <v>37</v>
      </c>
      <c r="W1" s="14" t="s">
        <v>38</v>
      </c>
      <c r="X1" s="14" t="s">
        <v>39</v>
      </c>
      <c r="Y1" s="14" t="s">
        <v>40</v>
      </c>
      <c r="Z1" s="14" t="s">
        <v>41</v>
      </c>
      <c r="AA1" s="15" t="s">
        <v>42</v>
      </c>
    </row>
    <row r="2" spans="1:27" x14ac:dyDescent="0.35">
      <c r="A2" s="16">
        <v>1</v>
      </c>
      <c r="B2" s="16" t="s">
        <v>3</v>
      </c>
      <c r="C2" s="16">
        <v>2</v>
      </c>
      <c r="D2" s="16">
        <v>2</v>
      </c>
      <c r="E2" s="17">
        <v>6</v>
      </c>
      <c r="F2" s="17">
        <v>6</v>
      </c>
      <c r="G2" s="17">
        <v>6</v>
      </c>
      <c r="H2" s="17">
        <v>7</v>
      </c>
      <c r="I2" s="17">
        <v>4</v>
      </c>
      <c r="J2" s="17">
        <v>7</v>
      </c>
      <c r="K2" s="17">
        <v>6</v>
      </c>
      <c r="L2" s="17">
        <v>6</v>
      </c>
      <c r="M2" s="17">
        <v>7</v>
      </c>
      <c r="N2" s="17">
        <v>4</v>
      </c>
      <c r="O2" s="17">
        <v>6</v>
      </c>
      <c r="P2" s="17">
        <v>5</v>
      </c>
      <c r="Q2" s="17">
        <v>6</v>
      </c>
      <c r="R2" s="17">
        <v>2</v>
      </c>
      <c r="S2" s="17">
        <v>6</v>
      </c>
      <c r="T2" s="17">
        <v>5</v>
      </c>
      <c r="U2" s="17">
        <v>5</v>
      </c>
      <c r="V2" s="17">
        <v>1</v>
      </c>
      <c r="W2" s="17">
        <v>7</v>
      </c>
      <c r="X2" s="17">
        <v>1</v>
      </c>
      <c r="Y2" s="17">
        <v>7</v>
      </c>
      <c r="Z2" s="17">
        <v>6</v>
      </c>
      <c r="AA2" s="18">
        <v>5.8947368420000004</v>
      </c>
    </row>
    <row r="3" spans="1:27" x14ac:dyDescent="0.35">
      <c r="A3" s="16">
        <v>1</v>
      </c>
      <c r="B3" s="16" t="s">
        <v>4</v>
      </c>
      <c r="C3" s="16">
        <v>2</v>
      </c>
      <c r="D3" s="16">
        <v>1</v>
      </c>
      <c r="E3" s="17">
        <v>6</v>
      </c>
      <c r="F3" s="17">
        <v>7</v>
      </c>
      <c r="G3" s="17">
        <v>6</v>
      </c>
      <c r="H3" s="17">
        <v>6</v>
      </c>
      <c r="I3" s="17">
        <v>4</v>
      </c>
      <c r="J3" s="17">
        <v>6</v>
      </c>
      <c r="K3" s="17">
        <v>6</v>
      </c>
      <c r="L3" s="17">
        <v>6</v>
      </c>
      <c r="M3" s="17">
        <v>6</v>
      </c>
      <c r="N3" s="17">
        <v>5</v>
      </c>
      <c r="O3" s="17">
        <v>4</v>
      </c>
      <c r="P3" s="17">
        <v>5</v>
      </c>
      <c r="Q3" s="17">
        <v>7</v>
      </c>
      <c r="R3" s="17">
        <v>1</v>
      </c>
      <c r="S3" s="17">
        <v>7</v>
      </c>
      <c r="T3" s="17">
        <v>7</v>
      </c>
      <c r="U3" s="17">
        <v>7</v>
      </c>
      <c r="V3" s="17">
        <v>1</v>
      </c>
      <c r="W3" s="17">
        <v>7</v>
      </c>
      <c r="X3" s="17">
        <v>8</v>
      </c>
      <c r="Y3" s="17">
        <v>0</v>
      </c>
      <c r="Z3" s="17">
        <v>4</v>
      </c>
      <c r="AA3" s="18">
        <v>5.5789473679999997</v>
      </c>
    </row>
    <row r="4" spans="1:27" x14ac:dyDescent="0.35">
      <c r="A4" s="16">
        <v>1</v>
      </c>
      <c r="B4" s="16" t="s">
        <v>5</v>
      </c>
      <c r="C4" s="16">
        <v>2</v>
      </c>
      <c r="D4" s="16">
        <v>4</v>
      </c>
      <c r="E4" s="17">
        <v>6</v>
      </c>
      <c r="F4" s="17">
        <v>7</v>
      </c>
      <c r="G4" s="17">
        <v>6</v>
      </c>
      <c r="H4" s="17">
        <v>7</v>
      </c>
      <c r="I4" s="17">
        <v>4</v>
      </c>
      <c r="J4" s="17">
        <v>6</v>
      </c>
      <c r="K4" s="17">
        <v>6</v>
      </c>
      <c r="L4" s="17">
        <v>6</v>
      </c>
      <c r="M4" s="17">
        <v>6</v>
      </c>
      <c r="N4" s="17">
        <v>4</v>
      </c>
      <c r="O4" s="17">
        <v>4</v>
      </c>
      <c r="P4" s="17">
        <v>5</v>
      </c>
      <c r="Q4" s="17">
        <v>6</v>
      </c>
      <c r="R4" s="17">
        <v>1</v>
      </c>
      <c r="S4" s="17">
        <v>7</v>
      </c>
      <c r="T4" s="17">
        <v>7</v>
      </c>
      <c r="U4" s="17">
        <v>6</v>
      </c>
      <c r="V4" s="17">
        <v>1</v>
      </c>
      <c r="W4" s="17">
        <v>7</v>
      </c>
      <c r="X4" s="17">
        <v>1</v>
      </c>
      <c r="Y4" s="17">
        <v>7</v>
      </c>
      <c r="Z4" s="17">
        <v>6</v>
      </c>
      <c r="AA4" s="18">
        <v>5.9473684210000002</v>
      </c>
    </row>
    <row r="5" spans="1:27" x14ac:dyDescent="0.35">
      <c r="A5" s="16">
        <v>1</v>
      </c>
      <c r="B5" s="16" t="s">
        <v>6</v>
      </c>
      <c r="C5" s="16">
        <v>2</v>
      </c>
      <c r="D5" s="16">
        <v>3</v>
      </c>
      <c r="E5" s="17">
        <v>6</v>
      </c>
      <c r="F5" s="17">
        <v>7</v>
      </c>
      <c r="G5" s="17">
        <v>6</v>
      </c>
      <c r="H5" s="17">
        <v>6</v>
      </c>
      <c r="I5" s="17">
        <v>4</v>
      </c>
      <c r="J5" s="17">
        <v>6</v>
      </c>
      <c r="K5" s="17">
        <v>6</v>
      </c>
      <c r="L5" s="17">
        <v>7</v>
      </c>
      <c r="M5" s="17">
        <v>7</v>
      </c>
      <c r="N5" s="17">
        <v>4</v>
      </c>
      <c r="O5" s="17">
        <v>6</v>
      </c>
      <c r="P5" s="17">
        <v>4</v>
      </c>
      <c r="Q5" s="17">
        <v>7</v>
      </c>
      <c r="R5" s="17">
        <v>1</v>
      </c>
      <c r="S5" s="17">
        <v>7</v>
      </c>
      <c r="T5" s="17">
        <v>7</v>
      </c>
      <c r="U5" s="17">
        <v>6</v>
      </c>
      <c r="V5" s="17">
        <v>1</v>
      </c>
      <c r="W5" s="17">
        <v>7</v>
      </c>
      <c r="X5" s="17">
        <v>1</v>
      </c>
      <c r="Y5" s="17">
        <v>7</v>
      </c>
      <c r="Z5" s="17">
        <v>6</v>
      </c>
      <c r="AA5" s="18">
        <v>6.1052631579999996</v>
      </c>
    </row>
    <row r="6" spans="1:27" x14ac:dyDescent="0.35">
      <c r="A6" s="19">
        <v>2</v>
      </c>
      <c r="B6" s="19" t="s">
        <v>3</v>
      </c>
      <c r="C6" s="19">
        <v>1</v>
      </c>
      <c r="D6" s="19">
        <v>1</v>
      </c>
      <c r="E6" s="20">
        <v>7</v>
      </c>
      <c r="F6" s="20">
        <v>7</v>
      </c>
      <c r="G6" s="20">
        <v>6</v>
      </c>
      <c r="H6" s="20">
        <v>6</v>
      </c>
      <c r="I6" s="20">
        <v>6</v>
      </c>
      <c r="J6" s="20">
        <v>5</v>
      </c>
      <c r="K6" s="20">
        <v>6</v>
      </c>
      <c r="L6" s="20">
        <v>6</v>
      </c>
      <c r="M6" s="20">
        <v>6</v>
      </c>
      <c r="N6" s="20">
        <v>6</v>
      </c>
      <c r="O6" s="20">
        <v>5</v>
      </c>
      <c r="P6" s="20">
        <v>4</v>
      </c>
      <c r="Q6" s="20">
        <v>5</v>
      </c>
      <c r="R6" s="20">
        <v>2</v>
      </c>
      <c r="S6" s="20">
        <v>6</v>
      </c>
      <c r="T6" s="20">
        <v>7</v>
      </c>
      <c r="U6" s="20">
        <v>7</v>
      </c>
      <c r="V6" s="20">
        <v>1</v>
      </c>
      <c r="W6" s="20">
        <v>7</v>
      </c>
      <c r="X6" s="20">
        <v>1</v>
      </c>
      <c r="Y6" s="20">
        <v>7</v>
      </c>
      <c r="Z6" s="20">
        <v>6</v>
      </c>
      <c r="AA6" s="18">
        <v>6.0526315789999998</v>
      </c>
    </row>
    <row r="7" spans="1:27" x14ac:dyDescent="0.35">
      <c r="A7" s="19">
        <v>2</v>
      </c>
      <c r="B7" s="19" t="s">
        <v>4</v>
      </c>
      <c r="C7" s="19">
        <v>1</v>
      </c>
      <c r="D7" s="19">
        <v>2</v>
      </c>
      <c r="E7" s="20">
        <v>6</v>
      </c>
      <c r="F7" s="20">
        <v>6</v>
      </c>
      <c r="G7" s="20">
        <v>6</v>
      </c>
      <c r="H7" s="20">
        <v>7</v>
      </c>
      <c r="I7" s="20">
        <v>6</v>
      </c>
      <c r="J7" s="20">
        <v>6</v>
      </c>
      <c r="K7" s="20">
        <v>6</v>
      </c>
      <c r="L7" s="20">
        <v>6</v>
      </c>
      <c r="M7" s="20">
        <v>6</v>
      </c>
      <c r="N7" s="20">
        <v>6</v>
      </c>
      <c r="O7" s="20">
        <v>6</v>
      </c>
      <c r="P7" s="20">
        <v>5</v>
      </c>
      <c r="Q7" s="20">
        <v>7</v>
      </c>
      <c r="R7" s="20">
        <v>6</v>
      </c>
      <c r="S7" s="20">
        <v>2</v>
      </c>
      <c r="T7" s="20">
        <v>7</v>
      </c>
      <c r="U7" s="20">
        <v>6</v>
      </c>
      <c r="V7" s="20">
        <v>2</v>
      </c>
      <c r="W7" s="20">
        <v>6</v>
      </c>
      <c r="X7" s="20">
        <v>8</v>
      </c>
      <c r="Y7" s="20">
        <v>0</v>
      </c>
      <c r="Z7" s="20">
        <v>6</v>
      </c>
      <c r="AA7" s="18">
        <v>5.5789473679999997</v>
      </c>
    </row>
    <row r="8" spans="1:27" x14ac:dyDescent="0.35">
      <c r="A8" s="19">
        <v>2</v>
      </c>
      <c r="B8" s="19" t="s">
        <v>5</v>
      </c>
      <c r="C8" s="19">
        <v>1</v>
      </c>
      <c r="D8" s="19">
        <v>3</v>
      </c>
      <c r="E8" s="20">
        <v>5</v>
      </c>
      <c r="F8" s="20">
        <v>5</v>
      </c>
      <c r="G8" s="20">
        <v>5</v>
      </c>
      <c r="H8" s="20">
        <v>6</v>
      </c>
      <c r="I8" s="20">
        <v>6</v>
      </c>
      <c r="J8" s="20">
        <v>5</v>
      </c>
      <c r="K8" s="20">
        <v>5</v>
      </c>
      <c r="L8" s="20">
        <v>6</v>
      </c>
      <c r="M8" s="20">
        <v>6</v>
      </c>
      <c r="N8" s="20">
        <v>6</v>
      </c>
      <c r="O8" s="20">
        <v>5</v>
      </c>
      <c r="P8" s="20">
        <v>5</v>
      </c>
      <c r="Q8" s="20">
        <v>7</v>
      </c>
      <c r="R8" s="20">
        <v>5</v>
      </c>
      <c r="S8" s="20">
        <v>3</v>
      </c>
      <c r="T8" s="20">
        <v>7</v>
      </c>
      <c r="U8" s="20">
        <v>6</v>
      </c>
      <c r="V8" s="20">
        <v>2</v>
      </c>
      <c r="W8" s="20">
        <v>6</v>
      </c>
      <c r="X8" s="20">
        <v>8</v>
      </c>
      <c r="Y8" s="20">
        <v>0</v>
      </c>
      <c r="Z8" s="20">
        <v>6</v>
      </c>
      <c r="AA8" s="18">
        <v>5.263157895</v>
      </c>
    </row>
    <row r="9" spans="1:27" x14ac:dyDescent="0.35">
      <c r="A9" s="19">
        <v>2</v>
      </c>
      <c r="B9" s="19" t="s">
        <v>6</v>
      </c>
      <c r="C9" s="19">
        <v>1</v>
      </c>
      <c r="D9" s="19">
        <v>4</v>
      </c>
      <c r="E9" s="20">
        <v>5</v>
      </c>
      <c r="F9" s="20">
        <v>5</v>
      </c>
      <c r="G9" s="20">
        <v>5</v>
      </c>
      <c r="H9" s="20">
        <v>7</v>
      </c>
      <c r="I9" s="20">
        <v>5</v>
      </c>
      <c r="J9" s="20">
        <v>5</v>
      </c>
      <c r="K9" s="20">
        <v>6</v>
      </c>
      <c r="L9" s="20">
        <v>6</v>
      </c>
      <c r="M9" s="20">
        <v>5</v>
      </c>
      <c r="N9" s="20">
        <v>5</v>
      </c>
      <c r="O9" s="20">
        <v>5</v>
      </c>
      <c r="P9" s="20">
        <v>5</v>
      </c>
      <c r="Q9" s="20">
        <v>7</v>
      </c>
      <c r="R9" s="20">
        <v>2</v>
      </c>
      <c r="S9" s="20">
        <v>6</v>
      </c>
      <c r="T9" s="20">
        <v>7</v>
      </c>
      <c r="U9" s="20">
        <v>6</v>
      </c>
      <c r="V9" s="20">
        <v>6</v>
      </c>
      <c r="W9" s="20">
        <v>2</v>
      </c>
      <c r="X9" s="20">
        <v>8</v>
      </c>
      <c r="Y9" s="20">
        <v>0</v>
      </c>
      <c r="Z9" s="20">
        <v>5</v>
      </c>
      <c r="AA9" s="18">
        <v>5.1052631579999996</v>
      </c>
    </row>
    <row r="10" spans="1:27" x14ac:dyDescent="0.35">
      <c r="A10" s="16">
        <v>3</v>
      </c>
      <c r="B10" s="16" t="s">
        <v>3</v>
      </c>
      <c r="C10" s="16">
        <v>2</v>
      </c>
      <c r="D10" s="16">
        <v>1</v>
      </c>
      <c r="E10" s="17">
        <v>6</v>
      </c>
      <c r="F10" s="17">
        <v>6</v>
      </c>
      <c r="G10" s="17">
        <v>5</v>
      </c>
      <c r="H10" s="17">
        <v>6</v>
      </c>
      <c r="I10" s="17">
        <v>5</v>
      </c>
      <c r="J10" s="17">
        <v>6</v>
      </c>
      <c r="K10" s="17">
        <v>6</v>
      </c>
      <c r="L10" s="17">
        <v>4</v>
      </c>
      <c r="M10" s="17">
        <v>7</v>
      </c>
      <c r="N10" s="17">
        <v>6</v>
      </c>
      <c r="O10" s="17">
        <v>5</v>
      </c>
      <c r="P10" s="17">
        <v>6</v>
      </c>
      <c r="Q10" s="17">
        <v>6</v>
      </c>
      <c r="R10" s="17">
        <v>2</v>
      </c>
      <c r="S10" s="17">
        <v>6</v>
      </c>
      <c r="T10" s="17">
        <v>7</v>
      </c>
      <c r="U10" s="17">
        <v>3</v>
      </c>
      <c r="V10" s="17">
        <v>1</v>
      </c>
      <c r="W10" s="17">
        <v>7</v>
      </c>
      <c r="X10" s="17">
        <v>8</v>
      </c>
      <c r="Y10" s="17">
        <v>0</v>
      </c>
      <c r="Z10" s="17">
        <v>7</v>
      </c>
      <c r="AA10" s="18">
        <v>5.4736842110000001</v>
      </c>
    </row>
    <row r="11" spans="1:27" x14ac:dyDescent="0.35">
      <c r="A11" s="16">
        <v>3</v>
      </c>
      <c r="B11" s="16" t="s">
        <v>4</v>
      </c>
      <c r="C11" s="16">
        <v>2</v>
      </c>
      <c r="D11" s="16">
        <v>2</v>
      </c>
      <c r="E11" s="17">
        <v>7</v>
      </c>
      <c r="F11" s="17">
        <v>7</v>
      </c>
      <c r="G11" s="17">
        <v>7</v>
      </c>
      <c r="H11" s="17">
        <v>7</v>
      </c>
      <c r="I11" s="17">
        <v>6</v>
      </c>
      <c r="J11" s="17">
        <v>7</v>
      </c>
      <c r="K11" s="17">
        <v>5</v>
      </c>
      <c r="L11" s="17">
        <v>6</v>
      </c>
      <c r="M11" s="17">
        <v>6</v>
      </c>
      <c r="N11" s="17">
        <v>5</v>
      </c>
      <c r="O11" s="17">
        <v>5</v>
      </c>
      <c r="P11" s="17">
        <v>4</v>
      </c>
      <c r="Q11" s="17">
        <v>7</v>
      </c>
      <c r="R11" s="17">
        <v>2</v>
      </c>
      <c r="S11" s="17">
        <v>6</v>
      </c>
      <c r="T11" s="17">
        <v>7</v>
      </c>
      <c r="U11" s="17">
        <v>7</v>
      </c>
      <c r="V11" s="17">
        <v>1</v>
      </c>
      <c r="W11" s="17">
        <v>7</v>
      </c>
      <c r="X11" s="17">
        <v>8</v>
      </c>
      <c r="Y11" s="17">
        <v>0</v>
      </c>
      <c r="Z11" s="17">
        <v>7</v>
      </c>
      <c r="AA11" s="18">
        <v>5.9473684210000002</v>
      </c>
    </row>
    <row r="12" spans="1:27" x14ac:dyDescent="0.35">
      <c r="A12" s="16">
        <v>3</v>
      </c>
      <c r="B12" s="16" t="s">
        <v>5</v>
      </c>
      <c r="C12" s="16">
        <v>2</v>
      </c>
      <c r="D12" s="16">
        <v>4</v>
      </c>
      <c r="E12" s="17">
        <v>7</v>
      </c>
      <c r="F12" s="17">
        <v>7</v>
      </c>
      <c r="G12" s="17">
        <v>7</v>
      </c>
      <c r="H12" s="17">
        <v>7</v>
      </c>
      <c r="I12" s="17">
        <v>6</v>
      </c>
      <c r="J12" s="17">
        <v>7</v>
      </c>
      <c r="K12" s="17">
        <v>6</v>
      </c>
      <c r="L12" s="17">
        <v>4</v>
      </c>
      <c r="M12" s="17">
        <v>6</v>
      </c>
      <c r="N12" s="17">
        <v>7</v>
      </c>
      <c r="O12" s="17">
        <v>4</v>
      </c>
      <c r="P12" s="17">
        <v>4</v>
      </c>
      <c r="Q12" s="17">
        <v>7</v>
      </c>
      <c r="R12" s="17">
        <v>2</v>
      </c>
      <c r="S12" s="17">
        <v>6</v>
      </c>
      <c r="T12" s="17">
        <v>7</v>
      </c>
      <c r="U12" s="17">
        <v>7</v>
      </c>
      <c r="V12" s="17">
        <v>1</v>
      </c>
      <c r="W12" s="17">
        <v>7</v>
      </c>
      <c r="X12" s="17">
        <v>1</v>
      </c>
      <c r="Y12" s="17">
        <v>7</v>
      </c>
      <c r="Z12" s="17">
        <v>7</v>
      </c>
      <c r="AA12" s="18">
        <v>6.3157894739999998</v>
      </c>
    </row>
    <row r="13" spans="1:27" x14ac:dyDescent="0.35">
      <c r="A13" s="16">
        <v>3</v>
      </c>
      <c r="B13" s="16" t="s">
        <v>6</v>
      </c>
      <c r="C13" s="16">
        <v>2</v>
      </c>
      <c r="D13" s="16">
        <v>3</v>
      </c>
      <c r="E13" s="17">
        <v>7</v>
      </c>
      <c r="F13" s="17">
        <v>7</v>
      </c>
      <c r="G13" s="17">
        <v>7</v>
      </c>
      <c r="H13" s="17">
        <v>7</v>
      </c>
      <c r="I13" s="17">
        <v>7</v>
      </c>
      <c r="J13" s="17">
        <v>7</v>
      </c>
      <c r="K13" s="17">
        <v>6</v>
      </c>
      <c r="L13" s="17">
        <v>4</v>
      </c>
      <c r="M13" s="17">
        <v>6</v>
      </c>
      <c r="N13" s="17">
        <v>7</v>
      </c>
      <c r="O13" s="17">
        <v>4</v>
      </c>
      <c r="P13" s="17">
        <v>4</v>
      </c>
      <c r="Q13" s="17">
        <v>7</v>
      </c>
      <c r="R13" s="17">
        <v>2</v>
      </c>
      <c r="S13" s="17">
        <v>6</v>
      </c>
      <c r="T13" s="17">
        <v>7</v>
      </c>
      <c r="U13" s="17">
        <v>7</v>
      </c>
      <c r="V13" s="17">
        <v>1</v>
      </c>
      <c r="W13" s="17">
        <v>7</v>
      </c>
      <c r="X13" s="17">
        <v>5</v>
      </c>
      <c r="Y13" s="17">
        <v>3</v>
      </c>
      <c r="Z13" s="17">
        <v>6</v>
      </c>
      <c r="AA13" s="18">
        <v>6.1052631579999996</v>
      </c>
    </row>
    <row r="14" spans="1:27" x14ac:dyDescent="0.35">
      <c r="A14" s="21">
        <v>4</v>
      </c>
      <c r="B14" s="21" t="s">
        <v>3</v>
      </c>
      <c r="C14" s="21">
        <v>1</v>
      </c>
      <c r="D14" s="21">
        <v>1</v>
      </c>
      <c r="E14" s="22">
        <v>6</v>
      </c>
      <c r="F14" s="22">
        <v>7</v>
      </c>
      <c r="G14" s="22">
        <v>4</v>
      </c>
      <c r="H14" s="22">
        <v>5</v>
      </c>
      <c r="I14" s="22">
        <v>5</v>
      </c>
      <c r="J14" s="22">
        <v>7</v>
      </c>
      <c r="K14" s="22">
        <v>2</v>
      </c>
      <c r="L14" s="22">
        <v>6</v>
      </c>
      <c r="M14" s="22">
        <v>7</v>
      </c>
      <c r="N14" s="22">
        <v>4</v>
      </c>
      <c r="O14" s="22">
        <v>4</v>
      </c>
      <c r="P14" s="22">
        <v>6</v>
      </c>
      <c r="Q14" s="22">
        <v>2</v>
      </c>
      <c r="R14" s="22">
        <v>1</v>
      </c>
      <c r="S14" s="22">
        <v>7</v>
      </c>
      <c r="T14" s="22">
        <v>6</v>
      </c>
      <c r="U14" s="22">
        <v>6</v>
      </c>
      <c r="V14" s="22">
        <v>5</v>
      </c>
      <c r="W14" s="22">
        <v>3</v>
      </c>
      <c r="X14" s="22">
        <v>2</v>
      </c>
      <c r="Y14" s="22">
        <v>6</v>
      </c>
      <c r="Z14" s="22">
        <v>7</v>
      </c>
      <c r="AA14" s="18">
        <v>5.263157895</v>
      </c>
    </row>
    <row r="15" spans="1:27" x14ac:dyDescent="0.35">
      <c r="A15" s="21">
        <v>4</v>
      </c>
      <c r="B15" s="21" t="s">
        <v>4</v>
      </c>
      <c r="C15" s="21">
        <v>1</v>
      </c>
      <c r="D15" s="21">
        <v>2</v>
      </c>
      <c r="E15" s="22">
        <v>6</v>
      </c>
      <c r="F15" s="22">
        <v>6</v>
      </c>
      <c r="G15" s="22">
        <v>3</v>
      </c>
      <c r="H15" s="22">
        <v>5</v>
      </c>
      <c r="I15" s="22">
        <v>4</v>
      </c>
      <c r="J15" s="22">
        <v>5</v>
      </c>
      <c r="K15" s="22">
        <v>3</v>
      </c>
      <c r="L15" s="22">
        <v>6</v>
      </c>
      <c r="M15" s="22">
        <v>7</v>
      </c>
      <c r="N15" s="22">
        <v>3</v>
      </c>
      <c r="O15" s="22">
        <v>4</v>
      </c>
      <c r="P15" s="22">
        <v>6</v>
      </c>
      <c r="Q15" s="22">
        <v>2</v>
      </c>
      <c r="R15" s="22">
        <v>1</v>
      </c>
      <c r="S15" s="22">
        <v>7</v>
      </c>
      <c r="T15" s="22">
        <v>6</v>
      </c>
      <c r="U15" s="22">
        <v>7</v>
      </c>
      <c r="V15" s="22">
        <v>2</v>
      </c>
      <c r="W15" s="22">
        <v>6</v>
      </c>
      <c r="X15" s="22">
        <v>8</v>
      </c>
      <c r="Y15" s="22">
        <v>0</v>
      </c>
      <c r="Z15" s="22">
        <v>6</v>
      </c>
      <c r="AA15" s="18">
        <v>4.8421052629999997</v>
      </c>
    </row>
    <row r="16" spans="1:27" x14ac:dyDescent="0.35">
      <c r="A16" s="21">
        <v>4</v>
      </c>
      <c r="B16" s="21" t="s">
        <v>5</v>
      </c>
      <c r="C16" s="21">
        <v>1</v>
      </c>
      <c r="D16" s="21">
        <v>3</v>
      </c>
      <c r="E16" s="22">
        <v>6</v>
      </c>
      <c r="F16" s="22">
        <v>6</v>
      </c>
      <c r="G16" s="22">
        <v>3</v>
      </c>
      <c r="H16" s="22">
        <v>5</v>
      </c>
      <c r="I16" s="22">
        <v>3</v>
      </c>
      <c r="J16" s="22">
        <v>6</v>
      </c>
      <c r="K16" s="22">
        <v>2</v>
      </c>
      <c r="L16" s="22">
        <v>4</v>
      </c>
      <c r="M16" s="22">
        <v>6</v>
      </c>
      <c r="N16" s="22">
        <v>3</v>
      </c>
      <c r="O16" s="22">
        <v>6</v>
      </c>
      <c r="P16" s="22">
        <v>6</v>
      </c>
      <c r="Q16" s="22">
        <v>5</v>
      </c>
      <c r="R16" s="22">
        <v>1</v>
      </c>
      <c r="S16" s="22">
        <v>7</v>
      </c>
      <c r="T16" s="22">
        <v>6</v>
      </c>
      <c r="U16" s="22">
        <v>7</v>
      </c>
      <c r="V16" s="22">
        <v>2</v>
      </c>
      <c r="W16" s="22">
        <v>6</v>
      </c>
      <c r="X16" s="22">
        <v>8</v>
      </c>
      <c r="Y16" s="22">
        <v>0</v>
      </c>
      <c r="Z16" s="22">
        <v>3</v>
      </c>
      <c r="AA16" s="18">
        <v>4.736842105</v>
      </c>
    </row>
    <row r="17" spans="1:27" x14ac:dyDescent="0.35">
      <c r="A17" s="21">
        <v>4</v>
      </c>
      <c r="B17" s="21" t="s">
        <v>6</v>
      </c>
      <c r="C17" s="21">
        <v>1</v>
      </c>
      <c r="D17" s="21">
        <v>4</v>
      </c>
      <c r="E17" s="22">
        <v>7</v>
      </c>
      <c r="F17" s="22">
        <v>6</v>
      </c>
      <c r="G17" s="22">
        <v>4</v>
      </c>
      <c r="H17" s="22">
        <v>5</v>
      </c>
      <c r="I17" s="22">
        <v>5</v>
      </c>
      <c r="J17" s="22">
        <v>6</v>
      </c>
      <c r="K17" s="22">
        <v>3</v>
      </c>
      <c r="L17" s="22">
        <v>6</v>
      </c>
      <c r="M17" s="22">
        <v>6</v>
      </c>
      <c r="N17" s="22">
        <v>4</v>
      </c>
      <c r="O17" s="22">
        <v>6</v>
      </c>
      <c r="P17" s="22">
        <v>6</v>
      </c>
      <c r="Q17" s="22">
        <v>3</v>
      </c>
      <c r="R17" s="22">
        <v>1</v>
      </c>
      <c r="S17" s="22">
        <v>7</v>
      </c>
      <c r="T17" s="22">
        <v>6</v>
      </c>
      <c r="U17" s="22">
        <v>6</v>
      </c>
      <c r="V17" s="22">
        <v>4</v>
      </c>
      <c r="W17" s="22">
        <v>4</v>
      </c>
      <c r="X17" s="22">
        <v>5</v>
      </c>
      <c r="Y17" s="22">
        <v>3</v>
      </c>
      <c r="Z17" s="22">
        <v>4</v>
      </c>
      <c r="AA17" s="18">
        <v>5.1052631579999996</v>
      </c>
    </row>
    <row r="18" spans="1:27" x14ac:dyDescent="0.35">
      <c r="A18" s="21">
        <v>5</v>
      </c>
      <c r="B18" s="21" t="s">
        <v>3</v>
      </c>
      <c r="C18" s="21">
        <v>3</v>
      </c>
      <c r="D18" s="21">
        <v>3</v>
      </c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2"/>
      <c r="T18" s="21"/>
      <c r="U18" s="21"/>
      <c r="V18" s="21"/>
      <c r="W18" s="22">
        <v>8</v>
      </c>
      <c r="X18" s="21"/>
      <c r="Y18" s="22">
        <v>8</v>
      </c>
      <c r="Z18" s="21"/>
      <c r="AA18" s="18">
        <v>8</v>
      </c>
    </row>
    <row r="19" spans="1:27" x14ac:dyDescent="0.35">
      <c r="A19" s="21">
        <v>5</v>
      </c>
      <c r="B19" s="21" t="s">
        <v>4</v>
      </c>
      <c r="C19" s="21">
        <v>3</v>
      </c>
      <c r="D19" s="21">
        <v>4</v>
      </c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2"/>
      <c r="T19" s="21"/>
      <c r="U19" s="21"/>
      <c r="V19" s="21"/>
      <c r="W19" s="22">
        <v>8</v>
      </c>
      <c r="X19" s="21"/>
      <c r="Y19" s="22">
        <v>8</v>
      </c>
      <c r="Z19" s="21"/>
      <c r="AA19" s="18">
        <v>8</v>
      </c>
    </row>
    <row r="20" spans="1:27" x14ac:dyDescent="0.35">
      <c r="A20" s="21">
        <v>5</v>
      </c>
      <c r="B20" s="21" t="s">
        <v>5</v>
      </c>
      <c r="C20" s="21">
        <v>3</v>
      </c>
      <c r="D20" s="21">
        <v>1</v>
      </c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2"/>
      <c r="T20" s="21"/>
      <c r="U20" s="21"/>
      <c r="V20" s="21"/>
      <c r="W20" s="22">
        <v>8</v>
      </c>
      <c r="X20" s="21"/>
      <c r="Y20" s="22">
        <v>8</v>
      </c>
      <c r="Z20" s="21"/>
      <c r="AA20" s="18">
        <v>8</v>
      </c>
    </row>
    <row r="21" spans="1:27" x14ac:dyDescent="0.35">
      <c r="A21" s="21">
        <v>5</v>
      </c>
      <c r="B21" s="21" t="s">
        <v>6</v>
      </c>
      <c r="C21" s="21">
        <v>3</v>
      </c>
      <c r="D21" s="21">
        <v>2</v>
      </c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2"/>
      <c r="T21" s="21"/>
      <c r="U21" s="21"/>
      <c r="V21" s="21"/>
      <c r="W21" s="22">
        <v>8</v>
      </c>
      <c r="X21" s="21"/>
      <c r="Y21" s="22">
        <v>8</v>
      </c>
      <c r="Z21" s="21"/>
      <c r="AA21" s="18">
        <v>8</v>
      </c>
    </row>
    <row r="22" spans="1:27" x14ac:dyDescent="0.35">
      <c r="A22" s="19">
        <v>6</v>
      </c>
      <c r="B22" s="19" t="s">
        <v>3</v>
      </c>
      <c r="C22" s="19">
        <v>4</v>
      </c>
      <c r="D22" s="19">
        <v>4</v>
      </c>
      <c r="E22" s="23">
        <v>4</v>
      </c>
      <c r="F22" s="23">
        <v>4</v>
      </c>
      <c r="G22" s="23">
        <v>5</v>
      </c>
      <c r="H22" s="23">
        <v>3</v>
      </c>
      <c r="I22" s="23">
        <v>4</v>
      </c>
      <c r="J22" s="23">
        <v>4</v>
      </c>
      <c r="K22" s="23">
        <v>5</v>
      </c>
      <c r="L22" s="23">
        <v>6</v>
      </c>
      <c r="M22" s="23">
        <v>4</v>
      </c>
      <c r="N22" s="23">
        <v>2</v>
      </c>
      <c r="O22" s="23">
        <v>4</v>
      </c>
      <c r="P22" s="23">
        <v>4</v>
      </c>
      <c r="Q22" s="23">
        <v>4</v>
      </c>
      <c r="R22" s="23">
        <v>3</v>
      </c>
      <c r="S22" s="20">
        <v>5</v>
      </c>
      <c r="T22" s="20">
        <v>5</v>
      </c>
      <c r="U22" s="20">
        <v>6</v>
      </c>
      <c r="V22" s="20">
        <v>3</v>
      </c>
      <c r="W22" s="20">
        <v>5</v>
      </c>
      <c r="X22" s="20">
        <v>8</v>
      </c>
      <c r="Y22" s="20">
        <v>0</v>
      </c>
      <c r="Z22" s="23">
        <v>3</v>
      </c>
      <c r="AA22" s="18">
        <v>4.0526315789999998</v>
      </c>
    </row>
    <row r="23" spans="1:27" x14ac:dyDescent="0.35">
      <c r="A23" s="19">
        <v>6</v>
      </c>
      <c r="B23" s="19" t="s">
        <v>4</v>
      </c>
      <c r="C23" s="19">
        <v>4</v>
      </c>
      <c r="D23" s="19">
        <v>3</v>
      </c>
      <c r="E23" s="23">
        <v>4</v>
      </c>
      <c r="F23" s="23">
        <v>4</v>
      </c>
      <c r="G23" s="23">
        <v>5</v>
      </c>
      <c r="H23" s="23">
        <v>5</v>
      </c>
      <c r="I23" s="23">
        <v>4</v>
      </c>
      <c r="J23" s="23">
        <v>6</v>
      </c>
      <c r="K23" s="23">
        <v>5</v>
      </c>
      <c r="L23" s="23">
        <v>6</v>
      </c>
      <c r="M23" s="23">
        <v>4</v>
      </c>
      <c r="N23" s="23">
        <v>5</v>
      </c>
      <c r="O23" s="23">
        <v>6</v>
      </c>
      <c r="P23" s="23">
        <v>2</v>
      </c>
      <c r="Q23" s="23">
        <v>4</v>
      </c>
      <c r="R23" s="23">
        <v>2</v>
      </c>
      <c r="S23" s="20">
        <v>6</v>
      </c>
      <c r="T23" s="20">
        <v>5</v>
      </c>
      <c r="U23" s="20">
        <v>3</v>
      </c>
      <c r="V23" s="20">
        <v>1</v>
      </c>
      <c r="W23" s="20">
        <v>7</v>
      </c>
      <c r="X23" s="20">
        <v>2</v>
      </c>
      <c r="Y23" s="20">
        <v>6</v>
      </c>
      <c r="Z23" s="23">
        <v>3</v>
      </c>
      <c r="AA23" s="18">
        <v>4.736842105</v>
      </c>
    </row>
    <row r="24" spans="1:27" x14ac:dyDescent="0.35">
      <c r="A24" s="19">
        <v>6</v>
      </c>
      <c r="B24" s="19" t="s">
        <v>5</v>
      </c>
      <c r="C24" s="19">
        <v>4</v>
      </c>
      <c r="D24" s="19">
        <v>2</v>
      </c>
      <c r="E24" s="23">
        <v>7</v>
      </c>
      <c r="F24" s="23">
        <v>6</v>
      </c>
      <c r="G24" s="23">
        <v>6</v>
      </c>
      <c r="H24" s="23">
        <v>5</v>
      </c>
      <c r="I24" s="23">
        <v>5</v>
      </c>
      <c r="J24" s="23">
        <v>4</v>
      </c>
      <c r="K24" s="23">
        <v>5</v>
      </c>
      <c r="L24" s="23">
        <v>6</v>
      </c>
      <c r="M24" s="23">
        <v>5</v>
      </c>
      <c r="N24" s="23">
        <v>3</v>
      </c>
      <c r="O24" s="23">
        <v>6</v>
      </c>
      <c r="P24" s="23">
        <v>2</v>
      </c>
      <c r="Q24" s="23">
        <v>5</v>
      </c>
      <c r="R24" s="23">
        <v>2</v>
      </c>
      <c r="S24" s="20">
        <v>6</v>
      </c>
      <c r="T24" s="20">
        <v>7</v>
      </c>
      <c r="U24" s="20">
        <v>7</v>
      </c>
      <c r="V24" s="20">
        <v>5</v>
      </c>
      <c r="W24" s="20">
        <v>3</v>
      </c>
      <c r="X24" s="20">
        <v>1</v>
      </c>
      <c r="Y24" s="20">
        <v>7</v>
      </c>
      <c r="Z24" s="23">
        <v>5</v>
      </c>
      <c r="AA24" s="18">
        <v>5.263157895</v>
      </c>
    </row>
    <row r="25" spans="1:27" x14ac:dyDescent="0.35">
      <c r="A25" s="19">
        <v>6</v>
      </c>
      <c r="B25" s="19" t="s">
        <v>6</v>
      </c>
      <c r="C25" s="19">
        <v>4</v>
      </c>
      <c r="D25" s="19">
        <v>1</v>
      </c>
      <c r="E25" s="23">
        <v>6</v>
      </c>
      <c r="F25" s="23">
        <v>6</v>
      </c>
      <c r="G25" s="23">
        <v>7</v>
      </c>
      <c r="H25" s="23">
        <v>5</v>
      </c>
      <c r="I25" s="23">
        <v>6</v>
      </c>
      <c r="J25" s="23">
        <v>5</v>
      </c>
      <c r="K25" s="23">
        <v>4</v>
      </c>
      <c r="L25" s="23">
        <v>6</v>
      </c>
      <c r="M25" s="23">
        <v>7</v>
      </c>
      <c r="N25" s="23">
        <v>5</v>
      </c>
      <c r="O25" s="23">
        <v>6</v>
      </c>
      <c r="P25" s="23">
        <v>3</v>
      </c>
      <c r="Q25" s="23">
        <v>6</v>
      </c>
      <c r="R25" s="23">
        <v>2</v>
      </c>
      <c r="S25" s="20">
        <v>6</v>
      </c>
      <c r="T25" s="20">
        <v>6</v>
      </c>
      <c r="U25" s="20">
        <v>6</v>
      </c>
      <c r="V25" s="20">
        <v>2</v>
      </c>
      <c r="W25" s="20">
        <v>6</v>
      </c>
      <c r="X25" s="20">
        <v>8</v>
      </c>
      <c r="Y25" s="20">
        <v>0</v>
      </c>
      <c r="Z25" s="23">
        <v>6</v>
      </c>
      <c r="AA25" s="18">
        <v>5.3684210529999996</v>
      </c>
    </row>
    <row r="26" spans="1:27" x14ac:dyDescent="0.35">
      <c r="A26" s="16">
        <v>7</v>
      </c>
      <c r="B26" s="16" t="s">
        <v>3</v>
      </c>
      <c r="C26" s="16">
        <v>1</v>
      </c>
      <c r="D26" s="16">
        <v>1</v>
      </c>
      <c r="E26" s="17">
        <v>7</v>
      </c>
      <c r="F26" s="17">
        <v>6</v>
      </c>
      <c r="G26" s="17">
        <v>7</v>
      </c>
      <c r="H26" s="17">
        <v>7</v>
      </c>
      <c r="I26" s="17">
        <v>7</v>
      </c>
      <c r="J26" s="17">
        <v>7</v>
      </c>
      <c r="K26" s="17">
        <v>6</v>
      </c>
      <c r="L26" s="17">
        <v>7</v>
      </c>
      <c r="M26" s="17">
        <v>7</v>
      </c>
      <c r="N26" s="17">
        <v>5</v>
      </c>
      <c r="O26" s="17">
        <v>7</v>
      </c>
      <c r="P26" s="17">
        <v>7</v>
      </c>
      <c r="Q26" s="17">
        <v>7</v>
      </c>
      <c r="R26" s="17">
        <v>1</v>
      </c>
      <c r="S26" s="17">
        <v>7</v>
      </c>
      <c r="T26" s="17">
        <v>6</v>
      </c>
      <c r="U26" s="17">
        <v>7</v>
      </c>
      <c r="V26" s="17">
        <v>1</v>
      </c>
      <c r="W26" s="17">
        <v>7</v>
      </c>
      <c r="X26" s="17">
        <v>8</v>
      </c>
      <c r="Y26" s="17">
        <v>0</v>
      </c>
      <c r="Z26" s="17">
        <v>7</v>
      </c>
      <c r="AA26" s="18">
        <v>6.3684210529999996</v>
      </c>
    </row>
    <row r="27" spans="1:27" x14ac:dyDescent="0.35">
      <c r="A27" s="16">
        <v>7</v>
      </c>
      <c r="B27" s="16" t="s">
        <v>4</v>
      </c>
      <c r="C27" s="16">
        <v>1</v>
      </c>
      <c r="D27" s="16">
        <v>2</v>
      </c>
      <c r="E27" s="17">
        <v>7</v>
      </c>
      <c r="F27" s="17">
        <v>7</v>
      </c>
      <c r="G27" s="17">
        <v>7</v>
      </c>
      <c r="H27" s="17">
        <v>7</v>
      </c>
      <c r="I27" s="17">
        <v>7</v>
      </c>
      <c r="J27" s="17">
        <v>7</v>
      </c>
      <c r="K27" s="17">
        <v>5</v>
      </c>
      <c r="L27" s="17">
        <v>7</v>
      </c>
      <c r="M27" s="17">
        <v>7</v>
      </c>
      <c r="N27" s="17">
        <v>7</v>
      </c>
      <c r="O27" s="17">
        <v>7</v>
      </c>
      <c r="P27" s="17">
        <v>7</v>
      </c>
      <c r="Q27" s="17">
        <v>5</v>
      </c>
      <c r="R27" s="17">
        <v>7</v>
      </c>
      <c r="S27" s="17">
        <v>1</v>
      </c>
      <c r="T27" s="17">
        <v>7</v>
      </c>
      <c r="U27" s="17">
        <v>7</v>
      </c>
      <c r="V27" s="17">
        <v>1</v>
      </c>
      <c r="W27" s="17">
        <v>7</v>
      </c>
      <c r="X27" s="17">
        <v>2</v>
      </c>
      <c r="Y27" s="17">
        <v>6</v>
      </c>
      <c r="Z27" s="17">
        <v>6</v>
      </c>
      <c r="AA27" s="18">
        <v>6.3684210529999996</v>
      </c>
    </row>
    <row r="28" spans="1:27" x14ac:dyDescent="0.35">
      <c r="A28" s="16">
        <v>7</v>
      </c>
      <c r="B28" s="16" t="s">
        <v>5</v>
      </c>
      <c r="C28" s="16">
        <v>1</v>
      </c>
      <c r="D28" s="16">
        <v>3</v>
      </c>
      <c r="E28" s="17">
        <v>7</v>
      </c>
      <c r="F28" s="17">
        <v>7</v>
      </c>
      <c r="G28" s="17">
        <v>7</v>
      </c>
      <c r="H28" s="17">
        <v>7</v>
      </c>
      <c r="I28" s="17">
        <v>7</v>
      </c>
      <c r="J28" s="17">
        <v>7</v>
      </c>
      <c r="K28" s="17">
        <v>7</v>
      </c>
      <c r="L28" s="17">
        <v>7</v>
      </c>
      <c r="M28" s="17">
        <v>7</v>
      </c>
      <c r="N28" s="17">
        <v>7</v>
      </c>
      <c r="O28" s="17">
        <v>7</v>
      </c>
      <c r="P28" s="17">
        <v>7</v>
      </c>
      <c r="Q28" s="17">
        <v>7</v>
      </c>
      <c r="R28" s="17">
        <v>1</v>
      </c>
      <c r="S28" s="17">
        <v>7</v>
      </c>
      <c r="T28" s="17">
        <v>7</v>
      </c>
      <c r="U28" s="17">
        <v>7</v>
      </c>
      <c r="V28" s="17">
        <v>1</v>
      </c>
      <c r="W28" s="17">
        <v>7</v>
      </c>
      <c r="X28" s="17">
        <v>1</v>
      </c>
      <c r="Y28" s="17">
        <v>7</v>
      </c>
      <c r="Z28" s="17">
        <v>7</v>
      </c>
      <c r="AA28" s="18">
        <v>7</v>
      </c>
    </row>
    <row r="29" spans="1:27" x14ac:dyDescent="0.35">
      <c r="A29" s="16">
        <v>7</v>
      </c>
      <c r="B29" s="16" t="s">
        <v>6</v>
      </c>
      <c r="C29" s="16">
        <v>1</v>
      </c>
      <c r="D29" s="16">
        <v>4</v>
      </c>
      <c r="E29" s="17">
        <v>7</v>
      </c>
      <c r="F29" s="17">
        <v>7</v>
      </c>
      <c r="G29" s="17">
        <v>7</v>
      </c>
      <c r="H29" s="17">
        <v>7</v>
      </c>
      <c r="I29" s="17">
        <v>7</v>
      </c>
      <c r="J29" s="17">
        <v>7</v>
      </c>
      <c r="K29" s="17">
        <v>7</v>
      </c>
      <c r="L29" s="17">
        <v>7</v>
      </c>
      <c r="M29" s="17">
        <v>7</v>
      </c>
      <c r="N29" s="17">
        <v>7</v>
      </c>
      <c r="O29" s="17">
        <v>7</v>
      </c>
      <c r="P29" s="17">
        <v>7</v>
      </c>
      <c r="Q29" s="17">
        <v>7</v>
      </c>
      <c r="R29" s="17">
        <v>2</v>
      </c>
      <c r="S29" s="17">
        <v>6</v>
      </c>
      <c r="T29" s="17">
        <v>7</v>
      </c>
      <c r="U29" s="17">
        <v>7</v>
      </c>
      <c r="V29" s="17">
        <v>7</v>
      </c>
      <c r="W29" s="17">
        <v>1</v>
      </c>
      <c r="X29" s="17">
        <v>8</v>
      </c>
      <c r="Y29" s="17">
        <v>0</v>
      </c>
      <c r="Z29" s="17">
        <v>7</v>
      </c>
      <c r="AA29" s="18">
        <v>6.263157895</v>
      </c>
    </row>
    <row r="30" spans="1:27" x14ac:dyDescent="0.35">
      <c r="A30" s="19">
        <v>8</v>
      </c>
      <c r="B30" s="19" t="s">
        <v>3</v>
      </c>
      <c r="C30" s="19">
        <v>4</v>
      </c>
      <c r="D30" s="19">
        <v>4</v>
      </c>
      <c r="E30" s="23">
        <v>6</v>
      </c>
      <c r="F30" s="23">
        <v>7</v>
      </c>
      <c r="G30" s="23">
        <v>7</v>
      </c>
      <c r="H30" s="23">
        <v>6</v>
      </c>
      <c r="I30" s="23">
        <v>6</v>
      </c>
      <c r="J30" s="23">
        <v>7</v>
      </c>
      <c r="K30" s="23">
        <v>6</v>
      </c>
      <c r="L30" s="23">
        <v>6</v>
      </c>
      <c r="M30" s="23">
        <v>7</v>
      </c>
      <c r="N30" s="23">
        <v>4</v>
      </c>
      <c r="O30" s="23">
        <v>5</v>
      </c>
      <c r="P30" s="23">
        <v>5</v>
      </c>
      <c r="Q30" s="23">
        <v>7</v>
      </c>
      <c r="R30" s="23">
        <v>1</v>
      </c>
      <c r="S30" s="20">
        <v>7</v>
      </c>
      <c r="T30" s="20">
        <v>7</v>
      </c>
      <c r="U30" s="20">
        <v>6</v>
      </c>
      <c r="V30" s="20">
        <v>1</v>
      </c>
      <c r="W30" s="20">
        <v>7</v>
      </c>
      <c r="X30" s="20">
        <v>1</v>
      </c>
      <c r="Y30" s="20">
        <v>7</v>
      </c>
      <c r="Z30" s="23">
        <v>6</v>
      </c>
      <c r="AA30" s="18">
        <v>6.263157895</v>
      </c>
    </row>
    <row r="31" spans="1:27" x14ac:dyDescent="0.35">
      <c r="A31" s="19">
        <v>8</v>
      </c>
      <c r="B31" s="19" t="s">
        <v>4</v>
      </c>
      <c r="C31" s="19">
        <v>4</v>
      </c>
      <c r="D31" s="19">
        <v>3</v>
      </c>
      <c r="E31" s="23">
        <v>6</v>
      </c>
      <c r="F31" s="23">
        <v>6</v>
      </c>
      <c r="G31" s="23">
        <v>6</v>
      </c>
      <c r="H31" s="23">
        <v>7</v>
      </c>
      <c r="I31" s="23">
        <v>6</v>
      </c>
      <c r="J31" s="23">
        <v>7</v>
      </c>
      <c r="K31" s="23">
        <v>7</v>
      </c>
      <c r="L31" s="23">
        <v>6</v>
      </c>
      <c r="M31" s="23">
        <v>7</v>
      </c>
      <c r="N31" s="23">
        <v>4</v>
      </c>
      <c r="O31" s="23">
        <v>6</v>
      </c>
      <c r="P31" s="23">
        <v>4</v>
      </c>
      <c r="Q31" s="23">
        <v>7</v>
      </c>
      <c r="R31" s="23">
        <v>1</v>
      </c>
      <c r="S31" s="20">
        <v>7</v>
      </c>
      <c r="T31" s="20">
        <v>7</v>
      </c>
      <c r="U31" s="20">
        <v>5</v>
      </c>
      <c r="V31" s="20">
        <v>1</v>
      </c>
      <c r="W31" s="20">
        <v>7</v>
      </c>
      <c r="X31" s="20">
        <v>2</v>
      </c>
      <c r="Y31" s="20">
        <v>6</v>
      </c>
      <c r="Z31" s="23">
        <v>6</v>
      </c>
      <c r="AA31" s="18">
        <v>6.1578947370000003</v>
      </c>
    </row>
    <row r="32" spans="1:27" x14ac:dyDescent="0.35">
      <c r="A32" s="19">
        <v>8</v>
      </c>
      <c r="B32" s="19" t="s">
        <v>5</v>
      </c>
      <c r="C32" s="19">
        <v>4</v>
      </c>
      <c r="D32" s="19">
        <v>2</v>
      </c>
      <c r="E32" s="23">
        <v>6</v>
      </c>
      <c r="F32" s="23">
        <v>6</v>
      </c>
      <c r="G32" s="23">
        <v>7</v>
      </c>
      <c r="H32" s="23">
        <v>6</v>
      </c>
      <c r="I32" s="23">
        <v>7</v>
      </c>
      <c r="J32" s="23">
        <v>6</v>
      </c>
      <c r="K32" s="23">
        <v>7</v>
      </c>
      <c r="L32" s="23">
        <v>6</v>
      </c>
      <c r="M32" s="23">
        <v>6</v>
      </c>
      <c r="N32" s="23">
        <v>4</v>
      </c>
      <c r="O32" s="23">
        <v>6</v>
      </c>
      <c r="P32" s="23">
        <v>4</v>
      </c>
      <c r="Q32" s="23">
        <v>6</v>
      </c>
      <c r="R32" s="23">
        <v>1</v>
      </c>
      <c r="S32" s="20">
        <v>7</v>
      </c>
      <c r="T32" s="20">
        <v>7</v>
      </c>
      <c r="U32" s="20">
        <v>6</v>
      </c>
      <c r="V32" s="20">
        <v>1</v>
      </c>
      <c r="W32" s="20">
        <v>7</v>
      </c>
      <c r="X32" s="20">
        <v>1</v>
      </c>
      <c r="Y32" s="20">
        <v>7</v>
      </c>
      <c r="Z32" s="23">
        <v>6</v>
      </c>
      <c r="AA32" s="18">
        <v>6.1578947370000003</v>
      </c>
    </row>
    <row r="33" spans="1:27" x14ac:dyDescent="0.35">
      <c r="A33" s="19">
        <v>8</v>
      </c>
      <c r="B33" s="19" t="s">
        <v>6</v>
      </c>
      <c r="C33" s="19">
        <v>4</v>
      </c>
      <c r="D33" s="19">
        <v>1</v>
      </c>
      <c r="E33" s="23">
        <v>5</v>
      </c>
      <c r="F33" s="23">
        <v>6</v>
      </c>
      <c r="G33" s="23">
        <v>6</v>
      </c>
      <c r="H33" s="23">
        <v>6</v>
      </c>
      <c r="I33" s="23">
        <v>7</v>
      </c>
      <c r="J33" s="23">
        <v>5</v>
      </c>
      <c r="K33" s="23">
        <v>7</v>
      </c>
      <c r="L33" s="23">
        <v>5</v>
      </c>
      <c r="M33" s="23">
        <v>6</v>
      </c>
      <c r="N33" s="23">
        <v>4</v>
      </c>
      <c r="O33" s="23">
        <v>6</v>
      </c>
      <c r="P33" s="23">
        <v>4</v>
      </c>
      <c r="Q33" s="23">
        <v>6</v>
      </c>
      <c r="R33" s="23">
        <v>1</v>
      </c>
      <c r="S33" s="20">
        <v>7</v>
      </c>
      <c r="T33" s="20">
        <v>6</v>
      </c>
      <c r="U33" s="20">
        <v>5</v>
      </c>
      <c r="V33" s="20">
        <v>1</v>
      </c>
      <c r="W33" s="20">
        <v>7</v>
      </c>
      <c r="X33" s="20">
        <v>8</v>
      </c>
      <c r="Y33" s="20">
        <v>0</v>
      </c>
      <c r="Z33" s="23">
        <v>7</v>
      </c>
      <c r="AA33" s="18">
        <v>5.5263157889999999</v>
      </c>
    </row>
    <row r="34" spans="1:27" x14ac:dyDescent="0.35">
      <c r="A34" s="16">
        <v>9</v>
      </c>
      <c r="B34" s="16" t="s">
        <v>3</v>
      </c>
      <c r="C34" s="16">
        <v>2</v>
      </c>
      <c r="D34" s="16">
        <v>2</v>
      </c>
      <c r="E34" s="17">
        <v>5</v>
      </c>
      <c r="F34" s="17">
        <v>7</v>
      </c>
      <c r="G34" s="17">
        <v>6</v>
      </c>
      <c r="H34" s="17">
        <v>7</v>
      </c>
      <c r="I34" s="17">
        <v>7</v>
      </c>
      <c r="J34" s="17">
        <v>7</v>
      </c>
      <c r="K34" s="17">
        <v>6</v>
      </c>
      <c r="L34" s="17">
        <v>5</v>
      </c>
      <c r="M34" s="17">
        <v>6</v>
      </c>
      <c r="N34" s="17">
        <v>5</v>
      </c>
      <c r="O34" s="17">
        <v>6</v>
      </c>
      <c r="P34" s="17">
        <v>6</v>
      </c>
      <c r="Q34" s="17">
        <v>6</v>
      </c>
      <c r="R34" s="17">
        <v>1</v>
      </c>
      <c r="S34" s="17">
        <v>7</v>
      </c>
      <c r="T34" s="17">
        <v>6</v>
      </c>
      <c r="U34" s="17">
        <v>6</v>
      </c>
      <c r="V34" s="17">
        <v>1</v>
      </c>
      <c r="W34" s="17">
        <v>7</v>
      </c>
      <c r="X34" s="17">
        <v>1</v>
      </c>
      <c r="Y34" s="17">
        <v>7</v>
      </c>
      <c r="Z34" s="17">
        <v>6</v>
      </c>
      <c r="AA34" s="18">
        <v>6.2105263160000002</v>
      </c>
    </row>
    <row r="35" spans="1:27" x14ac:dyDescent="0.35">
      <c r="A35" s="16">
        <v>9</v>
      </c>
      <c r="B35" s="16" t="s">
        <v>4</v>
      </c>
      <c r="C35" s="16">
        <v>2</v>
      </c>
      <c r="D35" s="16">
        <v>1</v>
      </c>
      <c r="E35" s="17">
        <v>7</v>
      </c>
      <c r="F35" s="17">
        <v>7</v>
      </c>
      <c r="G35" s="17">
        <v>7</v>
      </c>
      <c r="H35" s="17">
        <v>6</v>
      </c>
      <c r="I35" s="17">
        <v>6</v>
      </c>
      <c r="J35" s="17">
        <v>7</v>
      </c>
      <c r="K35" s="17">
        <v>6</v>
      </c>
      <c r="L35" s="17">
        <v>7</v>
      </c>
      <c r="M35" s="17">
        <v>7</v>
      </c>
      <c r="N35" s="17">
        <v>6</v>
      </c>
      <c r="O35" s="17">
        <v>6</v>
      </c>
      <c r="P35" s="17">
        <v>5</v>
      </c>
      <c r="Q35" s="17">
        <v>5</v>
      </c>
      <c r="R35" s="17">
        <v>1</v>
      </c>
      <c r="S35" s="17">
        <v>7</v>
      </c>
      <c r="T35" s="17">
        <v>6</v>
      </c>
      <c r="U35" s="17">
        <v>7</v>
      </c>
      <c r="V35" s="17">
        <v>2</v>
      </c>
      <c r="W35" s="17">
        <v>6</v>
      </c>
      <c r="X35" s="17">
        <v>1</v>
      </c>
      <c r="Y35" s="17">
        <v>7</v>
      </c>
      <c r="Z35" s="17">
        <v>6</v>
      </c>
      <c r="AA35" s="18">
        <v>6.3684210529999996</v>
      </c>
    </row>
    <row r="36" spans="1:27" x14ac:dyDescent="0.35">
      <c r="A36" s="16">
        <v>9</v>
      </c>
      <c r="B36" s="16" t="s">
        <v>5</v>
      </c>
      <c r="C36" s="16">
        <v>2</v>
      </c>
      <c r="D36" s="16">
        <v>4</v>
      </c>
      <c r="E36" s="17">
        <v>7</v>
      </c>
      <c r="F36" s="17">
        <v>7</v>
      </c>
      <c r="G36" s="17">
        <v>7</v>
      </c>
      <c r="H36" s="17">
        <v>7</v>
      </c>
      <c r="I36" s="17">
        <v>6</v>
      </c>
      <c r="J36" s="17">
        <v>7</v>
      </c>
      <c r="K36" s="17">
        <v>7</v>
      </c>
      <c r="L36" s="17">
        <v>6</v>
      </c>
      <c r="M36" s="17">
        <v>6</v>
      </c>
      <c r="N36" s="17">
        <v>7</v>
      </c>
      <c r="O36" s="17">
        <v>7</v>
      </c>
      <c r="P36" s="17">
        <v>6</v>
      </c>
      <c r="Q36" s="17">
        <v>7</v>
      </c>
      <c r="R36" s="17">
        <v>1</v>
      </c>
      <c r="S36" s="17">
        <v>7</v>
      </c>
      <c r="T36" s="17">
        <v>7</v>
      </c>
      <c r="U36" s="17">
        <v>7</v>
      </c>
      <c r="V36" s="17">
        <v>3</v>
      </c>
      <c r="W36" s="17">
        <v>5</v>
      </c>
      <c r="X36" s="17">
        <v>2</v>
      </c>
      <c r="Y36" s="17">
        <v>6</v>
      </c>
      <c r="Z36" s="17">
        <v>6</v>
      </c>
      <c r="AA36" s="18">
        <v>6.5789473679999997</v>
      </c>
    </row>
    <row r="37" spans="1:27" x14ac:dyDescent="0.35">
      <c r="A37" s="16">
        <v>9</v>
      </c>
      <c r="B37" s="16" t="s">
        <v>6</v>
      </c>
      <c r="C37" s="16">
        <v>2</v>
      </c>
      <c r="D37" s="16">
        <v>3</v>
      </c>
      <c r="E37" s="17">
        <v>7</v>
      </c>
      <c r="F37" s="17">
        <v>7</v>
      </c>
      <c r="G37" s="17">
        <v>6</v>
      </c>
      <c r="H37" s="17">
        <v>7</v>
      </c>
      <c r="I37" s="17">
        <v>7</v>
      </c>
      <c r="J37" s="17">
        <v>7</v>
      </c>
      <c r="K37" s="17">
        <v>6</v>
      </c>
      <c r="L37" s="17">
        <v>5</v>
      </c>
      <c r="M37" s="17">
        <v>6</v>
      </c>
      <c r="N37" s="17">
        <v>5</v>
      </c>
      <c r="O37" s="17">
        <v>7</v>
      </c>
      <c r="P37" s="17">
        <v>6</v>
      </c>
      <c r="Q37" s="17">
        <v>6</v>
      </c>
      <c r="R37" s="17">
        <v>1</v>
      </c>
      <c r="S37" s="17">
        <v>7</v>
      </c>
      <c r="T37" s="17">
        <v>7</v>
      </c>
      <c r="U37" s="17">
        <v>6</v>
      </c>
      <c r="V37" s="17">
        <v>3</v>
      </c>
      <c r="W37" s="17">
        <v>5</v>
      </c>
      <c r="X37" s="17">
        <v>2</v>
      </c>
      <c r="Y37" s="17">
        <v>6</v>
      </c>
      <c r="Z37" s="17">
        <v>6</v>
      </c>
      <c r="AA37" s="18">
        <v>6.263157895</v>
      </c>
    </row>
    <row r="38" spans="1:27" x14ac:dyDescent="0.35">
      <c r="A38" s="19">
        <v>10</v>
      </c>
      <c r="B38" s="19" t="s">
        <v>3</v>
      </c>
      <c r="C38" s="19">
        <v>4</v>
      </c>
      <c r="D38" s="19">
        <v>4</v>
      </c>
      <c r="E38" s="23">
        <v>7</v>
      </c>
      <c r="F38" s="23">
        <v>4</v>
      </c>
      <c r="G38" s="23">
        <v>3</v>
      </c>
      <c r="H38" s="23">
        <v>4</v>
      </c>
      <c r="I38" s="23">
        <v>5</v>
      </c>
      <c r="J38" s="23">
        <v>4</v>
      </c>
      <c r="K38" s="23">
        <v>3</v>
      </c>
      <c r="L38" s="23">
        <v>7</v>
      </c>
      <c r="M38" s="23">
        <v>6</v>
      </c>
      <c r="N38" s="23">
        <v>4</v>
      </c>
      <c r="O38" s="23">
        <v>4</v>
      </c>
      <c r="P38" s="23">
        <v>4</v>
      </c>
      <c r="Q38" s="23">
        <v>4</v>
      </c>
      <c r="R38" s="23">
        <v>2</v>
      </c>
      <c r="S38" s="20">
        <v>6</v>
      </c>
      <c r="T38" s="20">
        <v>7</v>
      </c>
      <c r="U38" s="20">
        <v>7</v>
      </c>
      <c r="V38" s="20">
        <v>1</v>
      </c>
      <c r="W38" s="20">
        <v>7</v>
      </c>
      <c r="X38" s="20">
        <v>1</v>
      </c>
      <c r="Y38" s="20">
        <v>7</v>
      </c>
      <c r="Z38" s="23">
        <v>7</v>
      </c>
      <c r="AA38" s="18">
        <v>5.263157895</v>
      </c>
    </row>
    <row r="39" spans="1:27" x14ac:dyDescent="0.35">
      <c r="A39" s="19">
        <v>10</v>
      </c>
      <c r="B39" s="19" t="s">
        <v>4</v>
      </c>
      <c r="C39" s="19">
        <v>4</v>
      </c>
      <c r="D39" s="19">
        <v>3</v>
      </c>
      <c r="E39" s="23">
        <v>7</v>
      </c>
      <c r="F39" s="23">
        <v>7</v>
      </c>
      <c r="G39" s="23">
        <v>3</v>
      </c>
      <c r="H39" s="23">
        <v>3</v>
      </c>
      <c r="I39" s="23">
        <v>5</v>
      </c>
      <c r="J39" s="23">
        <v>4</v>
      </c>
      <c r="K39" s="23">
        <v>3</v>
      </c>
      <c r="L39" s="23">
        <v>7</v>
      </c>
      <c r="M39" s="23">
        <v>5</v>
      </c>
      <c r="N39" s="23">
        <v>4</v>
      </c>
      <c r="O39" s="23">
        <v>4</v>
      </c>
      <c r="P39" s="23">
        <v>4</v>
      </c>
      <c r="Q39" s="23">
        <v>4</v>
      </c>
      <c r="R39" s="23">
        <v>1</v>
      </c>
      <c r="S39" s="20">
        <v>7</v>
      </c>
      <c r="T39" s="20">
        <v>7</v>
      </c>
      <c r="U39" s="20">
        <v>7</v>
      </c>
      <c r="V39" s="20">
        <v>1</v>
      </c>
      <c r="W39" s="20">
        <v>7</v>
      </c>
      <c r="X39" s="20">
        <v>1</v>
      </c>
      <c r="Y39" s="20">
        <v>7</v>
      </c>
      <c r="Z39" s="23">
        <v>7</v>
      </c>
      <c r="AA39" s="18">
        <v>5.3684210529999996</v>
      </c>
    </row>
    <row r="40" spans="1:27" x14ac:dyDescent="0.35">
      <c r="A40" s="19">
        <v>10</v>
      </c>
      <c r="B40" s="19" t="s">
        <v>5</v>
      </c>
      <c r="C40" s="19">
        <v>4</v>
      </c>
      <c r="D40" s="19">
        <v>2</v>
      </c>
      <c r="E40" s="23">
        <v>7</v>
      </c>
      <c r="F40" s="23">
        <v>7</v>
      </c>
      <c r="G40" s="23">
        <v>3</v>
      </c>
      <c r="H40" s="23">
        <v>3</v>
      </c>
      <c r="I40" s="23">
        <v>6</v>
      </c>
      <c r="J40" s="23">
        <v>3</v>
      </c>
      <c r="K40" s="23">
        <v>3</v>
      </c>
      <c r="L40" s="23">
        <v>7</v>
      </c>
      <c r="M40" s="23">
        <v>6</v>
      </c>
      <c r="N40" s="23">
        <v>4</v>
      </c>
      <c r="O40" s="23">
        <v>4</v>
      </c>
      <c r="P40" s="23">
        <v>4</v>
      </c>
      <c r="Q40" s="23">
        <v>5</v>
      </c>
      <c r="R40" s="23">
        <v>2</v>
      </c>
      <c r="S40" s="20">
        <v>6</v>
      </c>
      <c r="T40" s="20">
        <v>7</v>
      </c>
      <c r="U40" s="20">
        <v>7</v>
      </c>
      <c r="V40" s="20">
        <v>1</v>
      </c>
      <c r="W40" s="20">
        <v>7</v>
      </c>
      <c r="X40" s="20">
        <v>1</v>
      </c>
      <c r="Y40" s="20">
        <v>7</v>
      </c>
      <c r="Z40" s="23">
        <v>7</v>
      </c>
      <c r="AA40" s="18">
        <v>5.4210526320000003</v>
      </c>
    </row>
    <row r="41" spans="1:27" x14ac:dyDescent="0.35">
      <c r="A41" s="19">
        <v>10</v>
      </c>
      <c r="B41" s="19" t="s">
        <v>6</v>
      </c>
      <c r="C41" s="19">
        <v>4</v>
      </c>
      <c r="D41" s="19">
        <v>1</v>
      </c>
      <c r="E41" s="23">
        <v>6</v>
      </c>
      <c r="F41" s="23">
        <v>7</v>
      </c>
      <c r="G41" s="23">
        <v>2</v>
      </c>
      <c r="H41" s="23">
        <v>4</v>
      </c>
      <c r="I41" s="23">
        <v>7</v>
      </c>
      <c r="J41" s="23">
        <v>5</v>
      </c>
      <c r="K41" s="23">
        <v>3</v>
      </c>
      <c r="L41" s="23">
        <v>7</v>
      </c>
      <c r="M41" s="23">
        <v>7</v>
      </c>
      <c r="N41" s="23">
        <v>4</v>
      </c>
      <c r="O41" s="23">
        <v>4</v>
      </c>
      <c r="P41" s="23">
        <v>4</v>
      </c>
      <c r="Q41" s="23">
        <v>5</v>
      </c>
      <c r="R41" s="23">
        <v>1</v>
      </c>
      <c r="S41" s="20">
        <v>7</v>
      </c>
      <c r="T41" s="20">
        <v>7</v>
      </c>
      <c r="U41" s="20">
        <v>7</v>
      </c>
      <c r="V41" s="20">
        <v>1</v>
      </c>
      <c r="W41" s="20">
        <v>7</v>
      </c>
      <c r="X41" s="20">
        <v>1</v>
      </c>
      <c r="Y41" s="20">
        <v>7</v>
      </c>
      <c r="Z41" s="23">
        <v>7</v>
      </c>
      <c r="AA41" s="18">
        <v>5.6315789470000004</v>
      </c>
    </row>
    <row r="42" spans="1:27" x14ac:dyDescent="0.35">
      <c r="A42" s="16">
        <v>11</v>
      </c>
      <c r="B42" s="16" t="s">
        <v>3</v>
      </c>
      <c r="C42" s="16">
        <v>3</v>
      </c>
      <c r="D42" s="16">
        <v>3</v>
      </c>
      <c r="E42" s="17">
        <v>6</v>
      </c>
      <c r="F42" s="17">
        <v>6</v>
      </c>
      <c r="G42" s="17">
        <v>6</v>
      </c>
      <c r="H42" s="17">
        <v>6</v>
      </c>
      <c r="I42" s="17">
        <v>5</v>
      </c>
      <c r="J42" s="17">
        <v>6</v>
      </c>
      <c r="K42" s="17">
        <v>6</v>
      </c>
      <c r="L42" s="17">
        <v>6</v>
      </c>
      <c r="M42" s="17">
        <v>5</v>
      </c>
      <c r="N42" s="17">
        <v>6</v>
      </c>
      <c r="O42" s="17">
        <v>5</v>
      </c>
      <c r="P42" s="17">
        <v>5</v>
      </c>
      <c r="Q42" s="17">
        <v>5</v>
      </c>
      <c r="R42" s="17">
        <v>2</v>
      </c>
      <c r="S42" s="17">
        <v>6</v>
      </c>
      <c r="T42" s="17">
        <v>7</v>
      </c>
      <c r="U42" s="17">
        <v>6</v>
      </c>
      <c r="V42" s="17">
        <v>2</v>
      </c>
      <c r="W42" s="17">
        <v>6</v>
      </c>
      <c r="X42" s="17">
        <v>8</v>
      </c>
      <c r="Y42" s="17">
        <v>0</v>
      </c>
      <c r="Z42" s="17">
        <v>6</v>
      </c>
      <c r="AA42" s="18">
        <v>5.4736842110000001</v>
      </c>
    </row>
    <row r="43" spans="1:27" x14ac:dyDescent="0.35">
      <c r="A43" s="16">
        <v>11</v>
      </c>
      <c r="B43" s="16" t="s">
        <v>4</v>
      </c>
      <c r="C43" s="16">
        <v>3</v>
      </c>
      <c r="D43" s="16">
        <v>4</v>
      </c>
      <c r="E43" s="17">
        <v>6</v>
      </c>
      <c r="F43" s="17">
        <v>6</v>
      </c>
      <c r="G43" s="17">
        <v>6</v>
      </c>
      <c r="H43" s="17">
        <v>6</v>
      </c>
      <c r="I43" s="17">
        <v>5</v>
      </c>
      <c r="J43" s="17">
        <v>6</v>
      </c>
      <c r="K43" s="17">
        <v>5</v>
      </c>
      <c r="L43" s="17">
        <v>6</v>
      </c>
      <c r="M43" s="17">
        <v>6</v>
      </c>
      <c r="N43" s="17">
        <v>6</v>
      </c>
      <c r="O43" s="17">
        <v>5</v>
      </c>
      <c r="P43" s="17">
        <v>5</v>
      </c>
      <c r="Q43" s="17">
        <v>6</v>
      </c>
      <c r="R43" s="17">
        <v>2</v>
      </c>
      <c r="S43" s="17">
        <v>6</v>
      </c>
      <c r="T43" s="17">
        <v>7</v>
      </c>
      <c r="U43" s="17">
        <v>6</v>
      </c>
      <c r="V43" s="17">
        <v>2</v>
      </c>
      <c r="W43" s="17">
        <v>6</v>
      </c>
      <c r="X43" s="17">
        <v>8</v>
      </c>
      <c r="Y43" s="17">
        <v>0</v>
      </c>
      <c r="Z43" s="17">
        <v>6</v>
      </c>
      <c r="AA43" s="18">
        <v>5.5263157889999999</v>
      </c>
    </row>
    <row r="44" spans="1:27" x14ac:dyDescent="0.35">
      <c r="A44" s="16">
        <v>11</v>
      </c>
      <c r="B44" s="16" t="s">
        <v>5</v>
      </c>
      <c r="C44" s="16">
        <v>3</v>
      </c>
      <c r="D44" s="16">
        <v>1</v>
      </c>
      <c r="E44" s="17">
        <v>5</v>
      </c>
      <c r="F44" s="17">
        <v>5</v>
      </c>
      <c r="G44" s="17">
        <v>6</v>
      </c>
      <c r="H44" s="17">
        <v>6</v>
      </c>
      <c r="I44" s="17">
        <v>5</v>
      </c>
      <c r="J44" s="17">
        <v>7</v>
      </c>
      <c r="K44" s="17">
        <v>4</v>
      </c>
      <c r="L44" s="17">
        <v>5</v>
      </c>
      <c r="M44" s="17">
        <v>5</v>
      </c>
      <c r="N44" s="17">
        <v>6</v>
      </c>
      <c r="O44" s="17">
        <v>4</v>
      </c>
      <c r="P44" s="17">
        <v>5</v>
      </c>
      <c r="Q44" s="17">
        <v>7</v>
      </c>
      <c r="R44" s="17">
        <v>2</v>
      </c>
      <c r="S44" s="17">
        <v>6</v>
      </c>
      <c r="T44" s="17">
        <v>7</v>
      </c>
      <c r="U44" s="17">
        <v>7</v>
      </c>
      <c r="V44" s="17">
        <v>2</v>
      </c>
      <c r="W44" s="17">
        <v>6</v>
      </c>
      <c r="X44" s="17">
        <v>1</v>
      </c>
      <c r="Y44" s="17">
        <v>7</v>
      </c>
      <c r="Z44" s="17">
        <v>6</v>
      </c>
      <c r="AA44" s="18">
        <v>5.736842105</v>
      </c>
    </row>
    <row r="45" spans="1:27" x14ac:dyDescent="0.35">
      <c r="A45" s="16">
        <v>11</v>
      </c>
      <c r="B45" s="16" t="s">
        <v>6</v>
      </c>
      <c r="C45" s="16">
        <v>3</v>
      </c>
      <c r="D45" s="16">
        <v>2</v>
      </c>
      <c r="E45" s="17">
        <v>6</v>
      </c>
      <c r="F45" s="17">
        <v>6</v>
      </c>
      <c r="G45" s="17">
        <v>6</v>
      </c>
      <c r="H45" s="17">
        <v>7</v>
      </c>
      <c r="I45" s="17">
        <v>6</v>
      </c>
      <c r="J45" s="17">
        <v>7</v>
      </c>
      <c r="K45" s="17">
        <v>6</v>
      </c>
      <c r="L45" s="17">
        <v>6</v>
      </c>
      <c r="M45" s="17">
        <v>6</v>
      </c>
      <c r="N45" s="17">
        <v>6</v>
      </c>
      <c r="O45" s="17">
        <v>5</v>
      </c>
      <c r="P45" s="17">
        <v>5</v>
      </c>
      <c r="Q45" s="17">
        <v>6</v>
      </c>
      <c r="R45" s="17">
        <v>2</v>
      </c>
      <c r="S45" s="17">
        <v>6</v>
      </c>
      <c r="T45" s="17">
        <v>7</v>
      </c>
      <c r="U45" s="17">
        <v>6</v>
      </c>
      <c r="V45" s="17">
        <v>2</v>
      </c>
      <c r="W45" s="17">
        <v>6</v>
      </c>
      <c r="X45" s="17">
        <v>1</v>
      </c>
      <c r="Y45" s="17">
        <v>7</v>
      </c>
      <c r="Z45" s="17">
        <v>7</v>
      </c>
      <c r="AA45" s="18">
        <v>6.1578947370000003</v>
      </c>
    </row>
    <row r="46" spans="1:27" x14ac:dyDescent="0.35">
      <c r="A46" s="19">
        <v>12</v>
      </c>
      <c r="B46" s="19" t="s">
        <v>3</v>
      </c>
      <c r="C46" s="19">
        <v>3</v>
      </c>
      <c r="D46" s="19">
        <v>3</v>
      </c>
      <c r="E46" s="23">
        <v>6</v>
      </c>
      <c r="F46" s="23">
        <v>7</v>
      </c>
      <c r="G46" s="23">
        <v>5</v>
      </c>
      <c r="H46" s="23">
        <v>7</v>
      </c>
      <c r="I46" s="23">
        <v>5</v>
      </c>
      <c r="J46" s="23">
        <v>5</v>
      </c>
      <c r="K46" s="23">
        <v>6</v>
      </c>
      <c r="L46" s="23">
        <v>6</v>
      </c>
      <c r="M46" s="23">
        <v>7</v>
      </c>
      <c r="N46" s="23">
        <v>6</v>
      </c>
      <c r="O46" s="23">
        <v>6</v>
      </c>
      <c r="P46" s="23">
        <v>7</v>
      </c>
      <c r="Q46" s="23">
        <v>6</v>
      </c>
      <c r="R46" s="23">
        <v>2</v>
      </c>
      <c r="S46" s="20">
        <v>6</v>
      </c>
      <c r="T46" s="20">
        <v>7</v>
      </c>
      <c r="U46" s="20">
        <v>5</v>
      </c>
      <c r="V46" s="20">
        <v>1</v>
      </c>
      <c r="W46" s="20">
        <v>7</v>
      </c>
      <c r="X46" s="20">
        <v>1</v>
      </c>
      <c r="Y46" s="20">
        <v>7</v>
      </c>
      <c r="Z46" s="20">
        <v>5</v>
      </c>
      <c r="AA46" s="18">
        <v>6.1052631579999996</v>
      </c>
    </row>
    <row r="47" spans="1:27" x14ac:dyDescent="0.35">
      <c r="A47" s="19">
        <v>12</v>
      </c>
      <c r="B47" s="19" t="s">
        <v>4</v>
      </c>
      <c r="C47" s="19">
        <v>3</v>
      </c>
      <c r="D47" s="19">
        <v>4</v>
      </c>
      <c r="E47" s="23">
        <v>5</v>
      </c>
      <c r="F47" s="23">
        <v>6</v>
      </c>
      <c r="G47" s="23">
        <v>6</v>
      </c>
      <c r="H47" s="23">
        <v>7</v>
      </c>
      <c r="I47" s="23">
        <v>5</v>
      </c>
      <c r="J47" s="23">
        <v>6</v>
      </c>
      <c r="K47" s="23">
        <v>5</v>
      </c>
      <c r="L47" s="23">
        <v>6</v>
      </c>
      <c r="M47" s="23">
        <v>7</v>
      </c>
      <c r="N47" s="23">
        <v>6</v>
      </c>
      <c r="O47" s="23">
        <v>6</v>
      </c>
      <c r="P47" s="23">
        <v>7</v>
      </c>
      <c r="Q47" s="23">
        <v>6</v>
      </c>
      <c r="R47" s="23">
        <v>2</v>
      </c>
      <c r="S47" s="20">
        <v>6</v>
      </c>
      <c r="T47" s="20">
        <v>7</v>
      </c>
      <c r="U47" s="20">
        <v>6</v>
      </c>
      <c r="V47" s="20">
        <v>1</v>
      </c>
      <c r="W47" s="20">
        <v>7</v>
      </c>
      <c r="X47" s="20">
        <v>1</v>
      </c>
      <c r="Y47" s="20">
        <v>7</v>
      </c>
      <c r="Z47" s="20">
        <v>6</v>
      </c>
      <c r="AA47" s="18">
        <v>6.1578947370000003</v>
      </c>
    </row>
    <row r="48" spans="1:27" x14ac:dyDescent="0.35">
      <c r="A48" s="19">
        <v>12</v>
      </c>
      <c r="B48" s="19" t="s">
        <v>5</v>
      </c>
      <c r="C48" s="19">
        <v>3</v>
      </c>
      <c r="D48" s="19">
        <v>1</v>
      </c>
      <c r="E48" s="23">
        <v>6</v>
      </c>
      <c r="F48" s="23">
        <v>7</v>
      </c>
      <c r="G48" s="23">
        <v>4</v>
      </c>
      <c r="H48" s="23">
        <v>6</v>
      </c>
      <c r="I48" s="23">
        <v>6</v>
      </c>
      <c r="J48" s="23">
        <v>5</v>
      </c>
      <c r="K48" s="23">
        <v>5</v>
      </c>
      <c r="L48" s="23">
        <v>6</v>
      </c>
      <c r="M48" s="23">
        <v>7</v>
      </c>
      <c r="N48" s="23">
        <v>7</v>
      </c>
      <c r="O48" s="23">
        <v>6</v>
      </c>
      <c r="P48" s="23">
        <v>6</v>
      </c>
      <c r="Q48" s="23">
        <v>7</v>
      </c>
      <c r="R48" s="23">
        <v>1</v>
      </c>
      <c r="S48" s="20">
        <v>7</v>
      </c>
      <c r="T48" s="20">
        <v>7</v>
      </c>
      <c r="U48" s="20">
        <v>6</v>
      </c>
      <c r="V48" s="20">
        <v>1</v>
      </c>
      <c r="W48" s="20">
        <v>7</v>
      </c>
      <c r="X48" s="20">
        <v>1</v>
      </c>
      <c r="Y48" s="20">
        <v>7</v>
      </c>
      <c r="Z48" s="20">
        <v>6</v>
      </c>
      <c r="AA48" s="18">
        <v>6.2105263160000002</v>
      </c>
    </row>
    <row r="49" spans="1:27" x14ac:dyDescent="0.35">
      <c r="A49" s="19">
        <v>12</v>
      </c>
      <c r="B49" s="19" t="s">
        <v>6</v>
      </c>
      <c r="C49" s="19">
        <v>3</v>
      </c>
      <c r="D49" s="19">
        <v>2</v>
      </c>
      <c r="E49" s="23">
        <v>7</v>
      </c>
      <c r="F49" s="23">
        <v>7</v>
      </c>
      <c r="G49" s="23">
        <v>6</v>
      </c>
      <c r="H49" s="23">
        <v>6</v>
      </c>
      <c r="I49" s="23">
        <v>6</v>
      </c>
      <c r="J49" s="23">
        <v>6</v>
      </c>
      <c r="K49" s="23">
        <v>6</v>
      </c>
      <c r="L49" s="23">
        <v>6</v>
      </c>
      <c r="M49" s="23">
        <v>7</v>
      </c>
      <c r="N49" s="23">
        <v>5</v>
      </c>
      <c r="O49" s="23">
        <v>6</v>
      </c>
      <c r="P49" s="23">
        <v>7</v>
      </c>
      <c r="Q49" s="23">
        <v>7</v>
      </c>
      <c r="R49" s="23">
        <v>2</v>
      </c>
      <c r="S49" s="20">
        <v>6</v>
      </c>
      <c r="T49" s="20">
        <v>7</v>
      </c>
      <c r="U49" s="20">
        <v>6</v>
      </c>
      <c r="V49" s="20">
        <v>1</v>
      </c>
      <c r="W49" s="20">
        <v>7</v>
      </c>
      <c r="X49" s="20">
        <v>1</v>
      </c>
      <c r="Y49" s="20">
        <v>7</v>
      </c>
      <c r="Z49" s="20">
        <v>6</v>
      </c>
      <c r="AA49" s="18">
        <v>6.3684210529999996</v>
      </c>
    </row>
    <row r="50" spans="1:27" x14ac:dyDescent="0.35">
      <c r="A50" s="16">
        <v>13</v>
      </c>
      <c r="B50" s="16" t="s">
        <v>3</v>
      </c>
      <c r="C50" s="16">
        <v>1</v>
      </c>
      <c r="D50" s="16">
        <v>1</v>
      </c>
      <c r="E50" s="17">
        <v>6</v>
      </c>
      <c r="F50" s="17">
        <v>7</v>
      </c>
      <c r="G50" s="17">
        <v>7</v>
      </c>
      <c r="H50" s="17">
        <v>6</v>
      </c>
      <c r="I50" s="17">
        <v>6</v>
      </c>
      <c r="J50" s="17">
        <v>7</v>
      </c>
      <c r="K50" s="17">
        <v>7</v>
      </c>
      <c r="L50" s="17">
        <v>7</v>
      </c>
      <c r="M50" s="17">
        <v>6</v>
      </c>
      <c r="N50" s="17">
        <v>5</v>
      </c>
      <c r="O50" s="17">
        <v>6</v>
      </c>
      <c r="P50" s="17">
        <v>7</v>
      </c>
      <c r="Q50" s="17">
        <v>7</v>
      </c>
      <c r="R50" s="17">
        <v>1</v>
      </c>
      <c r="S50" s="17">
        <v>7</v>
      </c>
      <c r="T50" s="17">
        <v>7</v>
      </c>
      <c r="U50" s="17">
        <v>7</v>
      </c>
      <c r="V50" s="17">
        <v>1</v>
      </c>
      <c r="W50" s="17">
        <v>7</v>
      </c>
      <c r="X50" s="17">
        <v>1</v>
      </c>
      <c r="Y50" s="17">
        <v>7</v>
      </c>
      <c r="Z50" s="17">
        <v>4</v>
      </c>
      <c r="AA50" s="18">
        <v>6.4736842110000001</v>
      </c>
    </row>
    <row r="51" spans="1:27" x14ac:dyDescent="0.35">
      <c r="A51" s="16">
        <v>13</v>
      </c>
      <c r="B51" s="16" t="s">
        <v>4</v>
      </c>
      <c r="C51" s="16">
        <v>1</v>
      </c>
      <c r="D51" s="16">
        <v>2</v>
      </c>
      <c r="E51" s="17">
        <v>6</v>
      </c>
      <c r="F51" s="17">
        <v>7</v>
      </c>
      <c r="G51" s="17">
        <v>7</v>
      </c>
      <c r="H51" s="17">
        <v>7</v>
      </c>
      <c r="I51" s="17">
        <v>6</v>
      </c>
      <c r="J51" s="17">
        <v>7</v>
      </c>
      <c r="K51" s="17">
        <v>7</v>
      </c>
      <c r="L51" s="17">
        <v>7</v>
      </c>
      <c r="M51" s="17">
        <v>7</v>
      </c>
      <c r="N51" s="17">
        <v>6</v>
      </c>
      <c r="O51" s="17">
        <v>7</v>
      </c>
      <c r="P51" s="17">
        <v>7</v>
      </c>
      <c r="Q51" s="17">
        <v>6</v>
      </c>
      <c r="R51" s="17">
        <v>1</v>
      </c>
      <c r="S51" s="17">
        <v>7</v>
      </c>
      <c r="T51" s="17">
        <v>7</v>
      </c>
      <c r="U51" s="17">
        <v>7</v>
      </c>
      <c r="V51" s="17">
        <v>6</v>
      </c>
      <c r="W51" s="17">
        <v>2</v>
      </c>
      <c r="X51" s="17">
        <v>8</v>
      </c>
      <c r="Y51" s="17">
        <v>0</v>
      </c>
      <c r="Z51" s="17">
        <v>4</v>
      </c>
      <c r="AA51" s="18">
        <v>6</v>
      </c>
    </row>
    <row r="52" spans="1:27" x14ac:dyDescent="0.35">
      <c r="A52" s="16">
        <v>13</v>
      </c>
      <c r="B52" s="16" t="s">
        <v>5</v>
      </c>
      <c r="C52" s="16">
        <v>1</v>
      </c>
      <c r="D52" s="16">
        <v>3</v>
      </c>
      <c r="E52" s="17">
        <v>7</v>
      </c>
      <c r="F52" s="17">
        <v>7</v>
      </c>
      <c r="G52" s="17">
        <v>7</v>
      </c>
      <c r="H52" s="17">
        <v>7</v>
      </c>
      <c r="I52" s="17">
        <v>6</v>
      </c>
      <c r="J52" s="17">
        <v>7</v>
      </c>
      <c r="K52" s="17">
        <v>7</v>
      </c>
      <c r="L52" s="17">
        <v>7</v>
      </c>
      <c r="M52" s="17">
        <v>7</v>
      </c>
      <c r="N52" s="17">
        <v>6</v>
      </c>
      <c r="O52" s="17">
        <v>7</v>
      </c>
      <c r="P52" s="17">
        <v>6</v>
      </c>
      <c r="Q52" s="17">
        <v>7</v>
      </c>
      <c r="R52" s="17">
        <v>1</v>
      </c>
      <c r="S52" s="17">
        <v>7</v>
      </c>
      <c r="T52" s="17">
        <v>7</v>
      </c>
      <c r="U52" s="17">
        <v>7</v>
      </c>
      <c r="V52" s="17">
        <v>1</v>
      </c>
      <c r="W52" s="17">
        <v>7</v>
      </c>
      <c r="X52" s="17">
        <v>1</v>
      </c>
      <c r="Y52" s="17">
        <v>7</v>
      </c>
      <c r="Z52" s="17">
        <v>5</v>
      </c>
      <c r="AA52" s="18">
        <v>6.736842105</v>
      </c>
    </row>
    <row r="53" spans="1:27" x14ac:dyDescent="0.35">
      <c r="A53" s="16">
        <v>13</v>
      </c>
      <c r="B53" s="16" t="s">
        <v>6</v>
      </c>
      <c r="C53" s="16">
        <v>1</v>
      </c>
      <c r="D53" s="16">
        <v>4</v>
      </c>
      <c r="E53" s="17">
        <v>7</v>
      </c>
      <c r="F53" s="17">
        <v>7</v>
      </c>
      <c r="G53" s="17">
        <v>7</v>
      </c>
      <c r="H53" s="17">
        <v>7</v>
      </c>
      <c r="I53" s="17">
        <v>6</v>
      </c>
      <c r="J53" s="17">
        <v>7</v>
      </c>
      <c r="K53" s="17">
        <v>7</v>
      </c>
      <c r="L53" s="17">
        <v>7</v>
      </c>
      <c r="M53" s="17">
        <v>7</v>
      </c>
      <c r="N53" s="17">
        <v>6</v>
      </c>
      <c r="O53" s="17">
        <v>7</v>
      </c>
      <c r="P53" s="17">
        <v>7</v>
      </c>
      <c r="Q53" s="17">
        <v>7</v>
      </c>
      <c r="R53" s="17">
        <v>1</v>
      </c>
      <c r="S53" s="17">
        <v>7</v>
      </c>
      <c r="T53" s="17">
        <v>7</v>
      </c>
      <c r="U53" s="17">
        <v>7</v>
      </c>
      <c r="V53" s="17">
        <v>1</v>
      </c>
      <c r="W53" s="17">
        <v>7</v>
      </c>
      <c r="X53" s="17">
        <v>8</v>
      </c>
      <c r="Y53" s="17">
        <v>0</v>
      </c>
      <c r="Z53" s="17">
        <v>5</v>
      </c>
      <c r="AA53" s="18">
        <v>6.4210526320000003</v>
      </c>
    </row>
    <row r="54" spans="1:27" x14ac:dyDescent="0.35">
      <c r="A54" s="19">
        <v>14</v>
      </c>
      <c r="B54" s="19" t="s">
        <v>3</v>
      </c>
      <c r="C54" s="19">
        <v>3</v>
      </c>
      <c r="D54" s="19">
        <v>3</v>
      </c>
      <c r="E54" s="23">
        <v>6</v>
      </c>
      <c r="F54" s="23">
        <v>6</v>
      </c>
      <c r="G54" s="23">
        <v>5</v>
      </c>
      <c r="H54" s="23">
        <v>6</v>
      </c>
      <c r="I54" s="23">
        <v>5</v>
      </c>
      <c r="J54" s="23">
        <v>5</v>
      </c>
      <c r="K54" s="23">
        <v>5</v>
      </c>
      <c r="L54" s="23">
        <v>6</v>
      </c>
      <c r="M54" s="23">
        <v>6</v>
      </c>
      <c r="N54" s="23">
        <v>6</v>
      </c>
      <c r="O54" s="23">
        <v>6</v>
      </c>
      <c r="P54" s="23">
        <v>6</v>
      </c>
      <c r="Q54" s="23">
        <v>5</v>
      </c>
      <c r="R54" s="23">
        <v>2</v>
      </c>
      <c r="S54" s="20">
        <v>6</v>
      </c>
      <c r="T54" s="20">
        <v>7</v>
      </c>
      <c r="U54" s="20">
        <v>7</v>
      </c>
      <c r="V54" s="20">
        <v>2</v>
      </c>
      <c r="W54" s="20">
        <v>6</v>
      </c>
      <c r="X54" s="20">
        <v>8</v>
      </c>
      <c r="Y54" s="20">
        <v>0</v>
      </c>
      <c r="Z54" s="23">
        <v>3</v>
      </c>
      <c r="AA54" s="18">
        <v>5.3684210529999996</v>
      </c>
    </row>
    <row r="55" spans="1:27" x14ac:dyDescent="0.35">
      <c r="A55" s="19">
        <v>14</v>
      </c>
      <c r="B55" s="19" t="s">
        <v>4</v>
      </c>
      <c r="C55" s="19">
        <v>3</v>
      </c>
      <c r="D55" s="19">
        <v>4</v>
      </c>
      <c r="E55" s="23">
        <v>5</v>
      </c>
      <c r="F55" s="23">
        <v>4</v>
      </c>
      <c r="G55" s="23">
        <v>5</v>
      </c>
      <c r="H55" s="23">
        <v>6</v>
      </c>
      <c r="I55" s="23">
        <v>6</v>
      </c>
      <c r="J55" s="23">
        <v>5</v>
      </c>
      <c r="K55" s="23">
        <v>5</v>
      </c>
      <c r="L55" s="23">
        <v>5</v>
      </c>
      <c r="M55" s="23">
        <v>6</v>
      </c>
      <c r="N55" s="23">
        <v>6</v>
      </c>
      <c r="O55" s="23">
        <v>6</v>
      </c>
      <c r="P55" s="23">
        <v>5</v>
      </c>
      <c r="Q55" s="23">
        <v>5</v>
      </c>
      <c r="R55" s="23">
        <v>2</v>
      </c>
      <c r="S55" s="20">
        <v>6</v>
      </c>
      <c r="T55" s="20">
        <v>7</v>
      </c>
      <c r="U55" s="20">
        <v>7</v>
      </c>
      <c r="V55" s="20">
        <v>2</v>
      </c>
      <c r="W55" s="20">
        <v>6</v>
      </c>
      <c r="X55" s="20">
        <v>5</v>
      </c>
      <c r="Y55" s="20">
        <v>3</v>
      </c>
      <c r="Z55" s="23">
        <v>3</v>
      </c>
      <c r="AA55" s="18">
        <v>5.3157894739999998</v>
      </c>
    </row>
    <row r="56" spans="1:27" x14ac:dyDescent="0.35">
      <c r="A56" s="19">
        <v>14</v>
      </c>
      <c r="B56" s="19" t="s">
        <v>5</v>
      </c>
      <c r="C56" s="19">
        <v>3</v>
      </c>
      <c r="D56" s="19">
        <v>1</v>
      </c>
      <c r="E56" s="23">
        <v>6</v>
      </c>
      <c r="F56" s="23">
        <v>6</v>
      </c>
      <c r="G56" s="23">
        <v>6</v>
      </c>
      <c r="H56" s="23">
        <v>6</v>
      </c>
      <c r="I56" s="23">
        <v>6</v>
      </c>
      <c r="J56" s="23">
        <v>6</v>
      </c>
      <c r="K56" s="23">
        <v>5</v>
      </c>
      <c r="L56" s="23">
        <v>6</v>
      </c>
      <c r="M56" s="23">
        <v>7</v>
      </c>
      <c r="N56" s="23">
        <v>7</v>
      </c>
      <c r="O56" s="23">
        <v>6</v>
      </c>
      <c r="P56" s="23">
        <v>5</v>
      </c>
      <c r="Q56" s="23">
        <v>5</v>
      </c>
      <c r="R56" s="23">
        <v>2</v>
      </c>
      <c r="S56" s="20">
        <v>6</v>
      </c>
      <c r="T56" s="20">
        <v>7</v>
      </c>
      <c r="U56" s="20">
        <v>7</v>
      </c>
      <c r="V56" s="20">
        <v>1</v>
      </c>
      <c r="W56" s="20">
        <v>7</v>
      </c>
      <c r="X56" s="20">
        <v>1</v>
      </c>
      <c r="Y56" s="20">
        <v>7</v>
      </c>
      <c r="Z56" s="23">
        <v>7</v>
      </c>
      <c r="AA56" s="18">
        <v>6.2105263160000002</v>
      </c>
    </row>
    <row r="57" spans="1:27" x14ac:dyDescent="0.35">
      <c r="A57" s="19">
        <v>14</v>
      </c>
      <c r="B57" s="19" t="s">
        <v>6</v>
      </c>
      <c r="C57" s="19">
        <v>3</v>
      </c>
      <c r="D57" s="19">
        <v>2</v>
      </c>
      <c r="E57" s="23">
        <v>6</v>
      </c>
      <c r="F57" s="23">
        <v>7</v>
      </c>
      <c r="G57" s="23">
        <v>7</v>
      </c>
      <c r="H57" s="23">
        <v>6</v>
      </c>
      <c r="I57" s="23">
        <v>7</v>
      </c>
      <c r="J57" s="23">
        <v>6</v>
      </c>
      <c r="K57" s="23">
        <v>6</v>
      </c>
      <c r="L57" s="23">
        <v>7</v>
      </c>
      <c r="M57" s="23">
        <v>6</v>
      </c>
      <c r="N57" s="23">
        <v>6</v>
      </c>
      <c r="O57" s="23">
        <v>7</v>
      </c>
      <c r="P57" s="23">
        <v>6</v>
      </c>
      <c r="Q57" s="23">
        <v>6</v>
      </c>
      <c r="R57" s="23">
        <v>1</v>
      </c>
      <c r="S57" s="20">
        <v>7</v>
      </c>
      <c r="T57" s="20">
        <v>7</v>
      </c>
      <c r="U57" s="20">
        <v>7</v>
      </c>
      <c r="V57" s="20">
        <v>1</v>
      </c>
      <c r="W57" s="20">
        <v>7</v>
      </c>
      <c r="X57" s="20">
        <v>8</v>
      </c>
      <c r="Y57" s="20">
        <v>0</v>
      </c>
      <c r="Z57" s="23">
        <v>7</v>
      </c>
      <c r="AA57" s="18">
        <v>6.2105263160000002</v>
      </c>
    </row>
    <row r="58" spans="1:27" x14ac:dyDescent="0.35">
      <c r="A58" s="16">
        <v>15</v>
      </c>
      <c r="B58" s="16" t="s">
        <v>3</v>
      </c>
      <c r="C58" s="16">
        <v>1</v>
      </c>
      <c r="D58" s="16">
        <v>1</v>
      </c>
      <c r="E58" s="17">
        <v>6</v>
      </c>
      <c r="F58" s="17">
        <v>7</v>
      </c>
      <c r="G58" s="17">
        <v>7</v>
      </c>
      <c r="H58" s="17">
        <v>6</v>
      </c>
      <c r="I58" s="17">
        <v>7</v>
      </c>
      <c r="J58" s="17">
        <v>5</v>
      </c>
      <c r="K58" s="17">
        <v>5</v>
      </c>
      <c r="L58" s="17">
        <v>7</v>
      </c>
      <c r="M58" s="17">
        <v>7</v>
      </c>
      <c r="N58" s="17">
        <v>7</v>
      </c>
      <c r="O58" s="17">
        <v>6</v>
      </c>
      <c r="P58" s="17">
        <v>5</v>
      </c>
      <c r="Q58" s="17">
        <v>7</v>
      </c>
      <c r="R58" s="17">
        <v>1</v>
      </c>
      <c r="S58" s="17">
        <v>7</v>
      </c>
      <c r="T58" s="17">
        <v>7</v>
      </c>
      <c r="U58" s="17">
        <v>7</v>
      </c>
      <c r="V58" s="17">
        <v>7</v>
      </c>
      <c r="W58" s="17">
        <v>1</v>
      </c>
      <c r="X58" s="17">
        <v>8</v>
      </c>
      <c r="Y58" s="17">
        <v>0</v>
      </c>
      <c r="Z58" s="17">
        <v>7</v>
      </c>
      <c r="AA58" s="18">
        <v>5.8421052629999997</v>
      </c>
    </row>
    <row r="59" spans="1:27" x14ac:dyDescent="0.35">
      <c r="A59" s="16">
        <v>15</v>
      </c>
      <c r="B59" s="16" t="s">
        <v>4</v>
      </c>
      <c r="C59" s="16">
        <v>1</v>
      </c>
      <c r="D59" s="16">
        <v>2</v>
      </c>
      <c r="E59" s="17">
        <v>6</v>
      </c>
      <c r="F59" s="17">
        <v>7</v>
      </c>
      <c r="G59" s="17">
        <v>7</v>
      </c>
      <c r="H59" s="17">
        <v>6</v>
      </c>
      <c r="I59" s="17">
        <v>7</v>
      </c>
      <c r="J59" s="17">
        <v>6</v>
      </c>
      <c r="K59" s="17">
        <v>5</v>
      </c>
      <c r="L59" s="17">
        <v>7</v>
      </c>
      <c r="M59" s="17">
        <v>7</v>
      </c>
      <c r="N59" s="17">
        <v>7</v>
      </c>
      <c r="O59" s="17">
        <v>5</v>
      </c>
      <c r="P59" s="17">
        <v>5</v>
      </c>
      <c r="Q59" s="17">
        <v>7</v>
      </c>
      <c r="R59" s="17">
        <v>1</v>
      </c>
      <c r="S59" s="17">
        <v>7</v>
      </c>
      <c r="T59" s="17">
        <v>7</v>
      </c>
      <c r="U59" s="17">
        <v>7</v>
      </c>
      <c r="V59" s="17">
        <v>1</v>
      </c>
      <c r="W59" s="17">
        <v>7</v>
      </c>
      <c r="X59" s="17">
        <v>8</v>
      </c>
      <c r="Y59" s="17">
        <v>0</v>
      </c>
      <c r="Z59" s="17">
        <v>7</v>
      </c>
      <c r="AA59" s="18">
        <v>6.1578947370000003</v>
      </c>
    </row>
    <row r="60" spans="1:27" x14ac:dyDescent="0.35">
      <c r="A60" s="16">
        <v>15</v>
      </c>
      <c r="B60" s="16" t="s">
        <v>5</v>
      </c>
      <c r="C60" s="16">
        <v>1</v>
      </c>
      <c r="D60" s="16">
        <v>3</v>
      </c>
      <c r="E60" s="17">
        <v>7</v>
      </c>
      <c r="F60" s="17">
        <v>7</v>
      </c>
      <c r="G60" s="17">
        <v>5</v>
      </c>
      <c r="H60" s="17">
        <v>7</v>
      </c>
      <c r="I60" s="17">
        <v>7</v>
      </c>
      <c r="J60" s="17">
        <v>6</v>
      </c>
      <c r="K60" s="17">
        <v>6</v>
      </c>
      <c r="L60" s="17">
        <v>7</v>
      </c>
      <c r="M60" s="17">
        <v>7</v>
      </c>
      <c r="N60" s="17">
        <v>7</v>
      </c>
      <c r="O60" s="17">
        <v>5</v>
      </c>
      <c r="P60" s="17">
        <v>5</v>
      </c>
      <c r="Q60" s="17">
        <v>7</v>
      </c>
      <c r="R60" s="17">
        <v>1</v>
      </c>
      <c r="S60" s="17">
        <v>7</v>
      </c>
      <c r="T60" s="17">
        <v>7</v>
      </c>
      <c r="U60" s="17">
        <v>7</v>
      </c>
      <c r="V60" s="17">
        <v>2</v>
      </c>
      <c r="W60" s="17">
        <v>6</v>
      </c>
      <c r="X60" s="17">
        <v>8</v>
      </c>
      <c r="Y60" s="17">
        <v>0</v>
      </c>
      <c r="Z60" s="17">
        <v>7</v>
      </c>
      <c r="AA60" s="18">
        <v>6.1578947370000003</v>
      </c>
    </row>
    <row r="61" spans="1:27" x14ac:dyDescent="0.35">
      <c r="A61" s="16">
        <v>15</v>
      </c>
      <c r="B61" s="16" t="s">
        <v>6</v>
      </c>
      <c r="C61" s="16">
        <v>1</v>
      </c>
      <c r="D61" s="16">
        <v>4</v>
      </c>
      <c r="E61" s="17">
        <v>7</v>
      </c>
      <c r="F61" s="17">
        <v>7</v>
      </c>
      <c r="G61" s="17">
        <v>7</v>
      </c>
      <c r="H61" s="17">
        <v>7</v>
      </c>
      <c r="I61" s="17">
        <v>7</v>
      </c>
      <c r="J61" s="17">
        <v>6</v>
      </c>
      <c r="K61" s="17">
        <v>6</v>
      </c>
      <c r="L61" s="17">
        <v>7</v>
      </c>
      <c r="M61" s="17">
        <v>7</v>
      </c>
      <c r="N61" s="17">
        <v>7</v>
      </c>
      <c r="O61" s="17">
        <v>6</v>
      </c>
      <c r="P61" s="17">
        <v>5</v>
      </c>
      <c r="Q61" s="17">
        <v>7</v>
      </c>
      <c r="R61" s="17">
        <v>1</v>
      </c>
      <c r="S61" s="17">
        <v>7</v>
      </c>
      <c r="T61" s="17">
        <v>7</v>
      </c>
      <c r="U61" s="17">
        <v>7</v>
      </c>
      <c r="V61" s="17">
        <v>1</v>
      </c>
      <c r="W61" s="17">
        <v>7</v>
      </c>
      <c r="X61" s="17">
        <v>8</v>
      </c>
      <c r="Y61" s="17">
        <v>0</v>
      </c>
      <c r="Z61" s="17">
        <v>7</v>
      </c>
      <c r="AA61" s="18">
        <v>6.3684210529999996</v>
      </c>
    </row>
    <row r="62" spans="1:27" x14ac:dyDescent="0.35">
      <c r="A62" s="19">
        <v>16</v>
      </c>
      <c r="B62" s="19" t="s">
        <v>3</v>
      </c>
      <c r="C62" s="19">
        <v>2</v>
      </c>
      <c r="D62" s="19">
        <v>2</v>
      </c>
      <c r="E62" s="23">
        <v>6</v>
      </c>
      <c r="F62" s="23">
        <v>6</v>
      </c>
      <c r="G62" s="23">
        <v>6</v>
      </c>
      <c r="H62" s="23">
        <v>6</v>
      </c>
      <c r="I62" s="23">
        <v>5</v>
      </c>
      <c r="J62" s="23">
        <v>4</v>
      </c>
      <c r="K62" s="23">
        <v>4</v>
      </c>
      <c r="L62" s="23">
        <v>7</v>
      </c>
      <c r="M62" s="23">
        <v>6</v>
      </c>
      <c r="N62" s="23">
        <v>6</v>
      </c>
      <c r="O62" s="23">
        <v>7</v>
      </c>
      <c r="P62" s="23">
        <v>7</v>
      </c>
      <c r="Q62" s="23">
        <v>6</v>
      </c>
      <c r="R62" s="23">
        <v>1</v>
      </c>
      <c r="S62" s="20">
        <v>7</v>
      </c>
      <c r="T62" s="20">
        <v>7</v>
      </c>
      <c r="U62" s="20">
        <v>6</v>
      </c>
      <c r="V62" s="20">
        <v>1</v>
      </c>
      <c r="W62" s="20">
        <v>7</v>
      </c>
      <c r="X62" s="20">
        <v>1</v>
      </c>
      <c r="Y62" s="20">
        <v>7</v>
      </c>
      <c r="Z62" s="23">
        <v>7</v>
      </c>
      <c r="AA62" s="18">
        <v>6.1578947370000003</v>
      </c>
    </row>
    <row r="63" spans="1:27" x14ac:dyDescent="0.35">
      <c r="A63" s="19">
        <v>16</v>
      </c>
      <c r="B63" s="19" t="s">
        <v>4</v>
      </c>
      <c r="C63" s="19">
        <v>2</v>
      </c>
      <c r="D63" s="19">
        <v>1</v>
      </c>
      <c r="E63" s="23">
        <v>6</v>
      </c>
      <c r="F63" s="23">
        <v>7</v>
      </c>
      <c r="G63" s="23">
        <v>5</v>
      </c>
      <c r="H63" s="23">
        <v>5</v>
      </c>
      <c r="I63" s="23">
        <v>4</v>
      </c>
      <c r="J63" s="23">
        <v>6</v>
      </c>
      <c r="K63" s="23">
        <v>4</v>
      </c>
      <c r="L63" s="23">
        <v>6</v>
      </c>
      <c r="M63" s="23">
        <v>7</v>
      </c>
      <c r="N63" s="23">
        <v>6</v>
      </c>
      <c r="O63" s="23">
        <v>7</v>
      </c>
      <c r="P63" s="23">
        <v>7</v>
      </c>
      <c r="Q63" s="23">
        <v>6</v>
      </c>
      <c r="R63" s="23">
        <v>1</v>
      </c>
      <c r="S63" s="20">
        <v>7</v>
      </c>
      <c r="T63" s="20">
        <v>7</v>
      </c>
      <c r="U63" s="20">
        <v>6</v>
      </c>
      <c r="V63" s="20">
        <v>5</v>
      </c>
      <c r="W63" s="20">
        <v>3</v>
      </c>
      <c r="X63" s="20">
        <v>1</v>
      </c>
      <c r="Y63" s="20">
        <v>7</v>
      </c>
      <c r="Z63" s="23">
        <v>7</v>
      </c>
      <c r="AA63" s="18">
        <v>5.9473684210000002</v>
      </c>
    </row>
    <row r="64" spans="1:27" x14ac:dyDescent="0.35">
      <c r="A64" s="19">
        <v>16</v>
      </c>
      <c r="B64" s="19" t="s">
        <v>5</v>
      </c>
      <c r="C64" s="19">
        <v>2</v>
      </c>
      <c r="D64" s="19">
        <v>4</v>
      </c>
      <c r="E64" s="23">
        <v>6</v>
      </c>
      <c r="F64" s="23">
        <v>7</v>
      </c>
      <c r="G64" s="23">
        <v>5</v>
      </c>
      <c r="H64" s="23">
        <v>6</v>
      </c>
      <c r="I64" s="23">
        <v>6</v>
      </c>
      <c r="J64" s="23">
        <v>7</v>
      </c>
      <c r="K64" s="23">
        <v>5</v>
      </c>
      <c r="L64" s="23">
        <v>7</v>
      </c>
      <c r="M64" s="23">
        <v>7</v>
      </c>
      <c r="N64" s="23">
        <v>7</v>
      </c>
      <c r="O64" s="23">
        <v>7</v>
      </c>
      <c r="P64" s="23">
        <v>7</v>
      </c>
      <c r="Q64" s="23">
        <v>7</v>
      </c>
      <c r="R64" s="23">
        <v>1</v>
      </c>
      <c r="S64" s="20">
        <v>7</v>
      </c>
      <c r="T64" s="20">
        <v>7</v>
      </c>
      <c r="U64" s="20">
        <v>7</v>
      </c>
      <c r="V64" s="20">
        <v>1</v>
      </c>
      <c r="W64" s="20">
        <v>7</v>
      </c>
      <c r="X64" s="20">
        <v>1</v>
      </c>
      <c r="Y64" s="20">
        <v>7</v>
      </c>
      <c r="Z64" s="23">
        <v>7</v>
      </c>
      <c r="AA64" s="18">
        <v>6.6315789470000004</v>
      </c>
    </row>
    <row r="65" spans="1:27" x14ac:dyDescent="0.35">
      <c r="A65" s="19">
        <v>16</v>
      </c>
      <c r="B65" s="19" t="s">
        <v>6</v>
      </c>
      <c r="C65" s="19">
        <v>2</v>
      </c>
      <c r="D65" s="19">
        <v>3</v>
      </c>
      <c r="E65" s="23">
        <v>7</v>
      </c>
      <c r="F65" s="23">
        <v>7</v>
      </c>
      <c r="G65" s="23">
        <v>7</v>
      </c>
      <c r="H65" s="23">
        <v>6</v>
      </c>
      <c r="I65" s="23">
        <v>6</v>
      </c>
      <c r="J65" s="23">
        <v>7</v>
      </c>
      <c r="K65" s="23">
        <v>5</v>
      </c>
      <c r="L65" s="23">
        <v>7</v>
      </c>
      <c r="M65" s="23">
        <v>7</v>
      </c>
      <c r="N65" s="23">
        <v>7</v>
      </c>
      <c r="O65" s="23">
        <v>7</v>
      </c>
      <c r="P65" s="23">
        <v>7</v>
      </c>
      <c r="Q65" s="23">
        <v>7</v>
      </c>
      <c r="R65" s="23">
        <v>1</v>
      </c>
      <c r="S65" s="20">
        <v>7</v>
      </c>
      <c r="T65" s="20">
        <v>6</v>
      </c>
      <c r="U65" s="20">
        <v>7</v>
      </c>
      <c r="V65" s="20">
        <v>1</v>
      </c>
      <c r="W65" s="20">
        <v>7</v>
      </c>
      <c r="X65" s="20">
        <v>1</v>
      </c>
      <c r="Y65" s="20">
        <v>7</v>
      </c>
      <c r="Z65" s="23">
        <v>7</v>
      </c>
      <c r="AA65" s="18">
        <v>6.736842105</v>
      </c>
    </row>
    <row r="66" spans="1:27" x14ac:dyDescent="0.35">
      <c r="A66" s="16">
        <v>17</v>
      </c>
      <c r="B66" s="16" t="s">
        <v>3</v>
      </c>
      <c r="C66" s="16">
        <v>4</v>
      </c>
      <c r="D66" s="16">
        <v>4</v>
      </c>
      <c r="E66" s="17">
        <v>5</v>
      </c>
      <c r="F66" s="17">
        <v>5</v>
      </c>
      <c r="G66" s="17">
        <v>5</v>
      </c>
      <c r="H66" s="17">
        <v>6</v>
      </c>
      <c r="I66" s="17">
        <v>5</v>
      </c>
      <c r="J66" s="17">
        <v>5</v>
      </c>
      <c r="K66" s="17">
        <v>5</v>
      </c>
      <c r="L66" s="17">
        <v>4</v>
      </c>
      <c r="M66" s="17">
        <v>5</v>
      </c>
      <c r="N66" s="17">
        <v>5</v>
      </c>
      <c r="O66" s="17">
        <v>5</v>
      </c>
      <c r="P66" s="17">
        <v>5</v>
      </c>
      <c r="Q66" s="17">
        <v>2</v>
      </c>
      <c r="R66" s="17">
        <v>1</v>
      </c>
      <c r="S66" s="17">
        <v>7</v>
      </c>
      <c r="T66" s="17">
        <v>7</v>
      </c>
      <c r="U66" s="17">
        <v>7</v>
      </c>
      <c r="V66" s="17">
        <v>1</v>
      </c>
      <c r="W66" s="17">
        <v>7</v>
      </c>
      <c r="X66" s="17">
        <v>7</v>
      </c>
      <c r="Y66" s="17">
        <v>1</v>
      </c>
      <c r="Z66" s="17">
        <v>4</v>
      </c>
      <c r="AA66" s="18">
        <v>5</v>
      </c>
    </row>
    <row r="67" spans="1:27" x14ac:dyDescent="0.35">
      <c r="A67" s="16">
        <v>17</v>
      </c>
      <c r="B67" s="16" t="s">
        <v>4</v>
      </c>
      <c r="C67" s="16">
        <v>4</v>
      </c>
      <c r="D67" s="16">
        <v>3</v>
      </c>
      <c r="E67" s="17">
        <v>5</v>
      </c>
      <c r="F67" s="17">
        <v>6</v>
      </c>
      <c r="G67" s="17">
        <v>4</v>
      </c>
      <c r="H67" s="17">
        <v>4</v>
      </c>
      <c r="I67" s="17">
        <v>5</v>
      </c>
      <c r="J67" s="17">
        <v>5</v>
      </c>
      <c r="K67" s="17">
        <v>6</v>
      </c>
      <c r="L67" s="17">
        <v>6</v>
      </c>
      <c r="M67" s="17">
        <v>4</v>
      </c>
      <c r="N67" s="17">
        <v>4</v>
      </c>
      <c r="O67" s="17">
        <v>5</v>
      </c>
      <c r="P67" s="17">
        <v>6</v>
      </c>
      <c r="Q67" s="17">
        <v>3</v>
      </c>
      <c r="R67" s="17">
        <v>1</v>
      </c>
      <c r="S67" s="17">
        <v>7</v>
      </c>
      <c r="T67" s="17">
        <v>7</v>
      </c>
      <c r="U67" s="17">
        <v>6</v>
      </c>
      <c r="V67" s="17">
        <v>1</v>
      </c>
      <c r="W67" s="17">
        <v>7</v>
      </c>
      <c r="X67" s="17">
        <v>6</v>
      </c>
      <c r="Y67" s="17">
        <v>2</v>
      </c>
      <c r="Z67" s="17">
        <v>5</v>
      </c>
      <c r="AA67" s="18">
        <v>5.1052631579999996</v>
      </c>
    </row>
    <row r="68" spans="1:27" x14ac:dyDescent="0.35">
      <c r="A68" s="16">
        <v>17</v>
      </c>
      <c r="B68" s="16" t="s">
        <v>5</v>
      </c>
      <c r="C68" s="16">
        <v>4</v>
      </c>
      <c r="D68" s="16">
        <v>2</v>
      </c>
      <c r="E68" s="17">
        <v>6</v>
      </c>
      <c r="F68" s="17">
        <v>6</v>
      </c>
      <c r="G68" s="17">
        <v>6</v>
      </c>
      <c r="H68" s="17">
        <v>6</v>
      </c>
      <c r="I68" s="17">
        <v>6</v>
      </c>
      <c r="J68" s="17">
        <v>6</v>
      </c>
      <c r="K68" s="17">
        <v>6</v>
      </c>
      <c r="L68" s="17">
        <v>7</v>
      </c>
      <c r="M68" s="17">
        <v>6</v>
      </c>
      <c r="N68" s="17">
        <v>5</v>
      </c>
      <c r="O68" s="17">
        <v>6</v>
      </c>
      <c r="P68" s="17">
        <v>5</v>
      </c>
      <c r="Q68" s="17">
        <v>6</v>
      </c>
      <c r="R68" s="17">
        <v>2</v>
      </c>
      <c r="S68" s="17">
        <v>6</v>
      </c>
      <c r="T68" s="17">
        <v>7</v>
      </c>
      <c r="U68" s="17">
        <v>7</v>
      </c>
      <c r="V68" s="17">
        <v>1</v>
      </c>
      <c r="W68" s="17">
        <v>7</v>
      </c>
      <c r="X68" s="17">
        <v>1</v>
      </c>
      <c r="Y68" s="17">
        <v>7</v>
      </c>
      <c r="Z68" s="17">
        <v>7</v>
      </c>
      <c r="AA68" s="18">
        <v>6.2105263160000002</v>
      </c>
    </row>
    <row r="69" spans="1:27" x14ac:dyDescent="0.35">
      <c r="A69" s="16">
        <v>17</v>
      </c>
      <c r="B69" s="16" t="s">
        <v>6</v>
      </c>
      <c r="C69" s="16">
        <v>4</v>
      </c>
      <c r="D69" s="16">
        <v>1</v>
      </c>
      <c r="E69" s="17">
        <v>6</v>
      </c>
      <c r="F69" s="17">
        <v>7</v>
      </c>
      <c r="G69" s="17">
        <v>6</v>
      </c>
      <c r="H69" s="17">
        <v>4</v>
      </c>
      <c r="I69" s="17">
        <v>5</v>
      </c>
      <c r="J69" s="17">
        <v>5</v>
      </c>
      <c r="K69" s="17">
        <v>5</v>
      </c>
      <c r="L69" s="17">
        <v>7</v>
      </c>
      <c r="M69" s="17">
        <v>6</v>
      </c>
      <c r="N69" s="17">
        <v>4</v>
      </c>
      <c r="O69" s="17">
        <v>5</v>
      </c>
      <c r="P69" s="17">
        <v>6</v>
      </c>
      <c r="Q69" s="17">
        <v>5</v>
      </c>
      <c r="R69" s="17">
        <v>2</v>
      </c>
      <c r="S69" s="17">
        <v>6</v>
      </c>
      <c r="T69" s="17">
        <v>7</v>
      </c>
      <c r="U69" s="17">
        <v>7</v>
      </c>
      <c r="V69" s="17">
        <v>2</v>
      </c>
      <c r="W69" s="17">
        <v>6</v>
      </c>
      <c r="X69" s="17">
        <v>8</v>
      </c>
      <c r="Y69" s="17">
        <v>0</v>
      </c>
      <c r="Z69" s="17">
        <v>5</v>
      </c>
      <c r="AA69" s="18">
        <v>5.3684210529999996</v>
      </c>
    </row>
    <row r="70" spans="1:27" x14ac:dyDescent="0.35">
      <c r="A70" s="19">
        <v>18</v>
      </c>
      <c r="B70" s="19" t="s">
        <v>3</v>
      </c>
      <c r="C70" s="19">
        <v>3</v>
      </c>
      <c r="D70" s="19">
        <v>3</v>
      </c>
      <c r="E70" s="23">
        <v>7</v>
      </c>
      <c r="F70" s="23">
        <v>7</v>
      </c>
      <c r="G70" s="23">
        <v>6</v>
      </c>
      <c r="H70" s="23">
        <v>7</v>
      </c>
      <c r="I70" s="23">
        <v>7</v>
      </c>
      <c r="J70" s="23">
        <v>6</v>
      </c>
      <c r="K70" s="23">
        <v>6</v>
      </c>
      <c r="L70" s="23">
        <v>7</v>
      </c>
      <c r="M70" s="23">
        <v>6</v>
      </c>
      <c r="N70" s="23">
        <v>6</v>
      </c>
      <c r="O70" s="23">
        <v>6</v>
      </c>
      <c r="P70" s="23">
        <v>6</v>
      </c>
      <c r="Q70" s="23">
        <v>6</v>
      </c>
      <c r="R70" s="23">
        <v>1</v>
      </c>
      <c r="S70" s="20">
        <v>7</v>
      </c>
      <c r="T70" s="20">
        <v>7</v>
      </c>
      <c r="U70" s="20">
        <v>6</v>
      </c>
      <c r="V70" s="20">
        <v>1</v>
      </c>
      <c r="W70" s="20">
        <v>7</v>
      </c>
      <c r="X70" s="20">
        <v>1</v>
      </c>
      <c r="Y70" s="20">
        <v>7</v>
      </c>
      <c r="Z70" s="23">
        <v>6</v>
      </c>
      <c r="AA70" s="18">
        <v>6.4736842110000001</v>
      </c>
    </row>
    <row r="71" spans="1:27" x14ac:dyDescent="0.35">
      <c r="A71" s="19">
        <v>18</v>
      </c>
      <c r="B71" s="19" t="s">
        <v>4</v>
      </c>
      <c r="C71" s="19">
        <v>3</v>
      </c>
      <c r="D71" s="19">
        <v>4</v>
      </c>
      <c r="E71" s="23">
        <v>7</v>
      </c>
      <c r="F71" s="23">
        <v>6</v>
      </c>
      <c r="G71" s="23">
        <v>6</v>
      </c>
      <c r="H71" s="23">
        <v>6</v>
      </c>
      <c r="I71" s="23">
        <v>7</v>
      </c>
      <c r="J71" s="23">
        <v>6</v>
      </c>
      <c r="K71" s="23">
        <v>6</v>
      </c>
      <c r="L71" s="23">
        <v>6</v>
      </c>
      <c r="M71" s="23">
        <v>6</v>
      </c>
      <c r="N71" s="23">
        <v>7</v>
      </c>
      <c r="O71" s="23">
        <v>6</v>
      </c>
      <c r="P71" s="23">
        <v>6</v>
      </c>
      <c r="Q71" s="23">
        <v>5</v>
      </c>
      <c r="R71" s="23">
        <v>1</v>
      </c>
      <c r="S71" s="20">
        <v>7</v>
      </c>
      <c r="T71" s="20">
        <v>7</v>
      </c>
      <c r="U71" s="20">
        <v>7</v>
      </c>
      <c r="V71" s="20">
        <v>1</v>
      </c>
      <c r="W71" s="20">
        <v>7</v>
      </c>
      <c r="X71" s="20">
        <v>1</v>
      </c>
      <c r="Y71" s="20">
        <v>7</v>
      </c>
      <c r="Z71" s="23">
        <v>6</v>
      </c>
      <c r="AA71" s="18">
        <v>6.3684210529999996</v>
      </c>
    </row>
    <row r="72" spans="1:27" x14ac:dyDescent="0.35">
      <c r="A72" s="19">
        <v>18</v>
      </c>
      <c r="B72" s="19" t="s">
        <v>5</v>
      </c>
      <c r="C72" s="19">
        <v>3</v>
      </c>
      <c r="D72" s="19">
        <v>1</v>
      </c>
      <c r="E72" s="23">
        <v>6</v>
      </c>
      <c r="F72" s="23">
        <v>6</v>
      </c>
      <c r="G72" s="23">
        <v>7</v>
      </c>
      <c r="H72" s="23">
        <v>6</v>
      </c>
      <c r="I72" s="23">
        <v>7</v>
      </c>
      <c r="J72" s="23">
        <v>6</v>
      </c>
      <c r="K72" s="23">
        <v>6</v>
      </c>
      <c r="L72" s="23">
        <v>6</v>
      </c>
      <c r="M72" s="23">
        <v>6</v>
      </c>
      <c r="N72" s="23">
        <v>7</v>
      </c>
      <c r="O72" s="23">
        <v>5</v>
      </c>
      <c r="P72" s="23">
        <v>5</v>
      </c>
      <c r="Q72" s="23">
        <v>6</v>
      </c>
      <c r="R72" s="23">
        <v>1</v>
      </c>
      <c r="S72" s="20">
        <v>7</v>
      </c>
      <c r="T72" s="20">
        <v>5</v>
      </c>
      <c r="U72" s="20">
        <v>5</v>
      </c>
      <c r="V72" s="20">
        <v>6</v>
      </c>
      <c r="W72" s="20">
        <v>2</v>
      </c>
      <c r="X72" s="20">
        <v>6</v>
      </c>
      <c r="Y72" s="20">
        <v>2</v>
      </c>
      <c r="Z72" s="23">
        <v>6</v>
      </c>
      <c r="AA72" s="18">
        <v>5.5789473679999997</v>
      </c>
    </row>
    <row r="73" spans="1:27" x14ac:dyDescent="0.35">
      <c r="A73" s="19">
        <v>18</v>
      </c>
      <c r="B73" s="19" t="s">
        <v>6</v>
      </c>
      <c r="C73" s="19">
        <v>3</v>
      </c>
      <c r="D73" s="19">
        <v>2</v>
      </c>
      <c r="E73" s="23">
        <v>7</v>
      </c>
      <c r="F73" s="23">
        <v>7</v>
      </c>
      <c r="G73" s="23">
        <v>6</v>
      </c>
      <c r="H73" s="23">
        <v>6</v>
      </c>
      <c r="I73" s="23">
        <v>7</v>
      </c>
      <c r="J73" s="23">
        <v>7</v>
      </c>
      <c r="K73" s="23">
        <v>6</v>
      </c>
      <c r="L73" s="23">
        <v>7</v>
      </c>
      <c r="M73" s="23">
        <v>6</v>
      </c>
      <c r="N73" s="23">
        <v>7</v>
      </c>
      <c r="O73" s="23">
        <v>7</v>
      </c>
      <c r="P73" s="23">
        <v>6</v>
      </c>
      <c r="Q73" s="23">
        <v>6</v>
      </c>
      <c r="R73" s="23">
        <v>1</v>
      </c>
      <c r="S73" s="20">
        <v>7</v>
      </c>
      <c r="T73" s="20">
        <v>7</v>
      </c>
      <c r="U73" s="20">
        <v>7</v>
      </c>
      <c r="V73" s="20">
        <v>1</v>
      </c>
      <c r="W73" s="20">
        <v>7</v>
      </c>
      <c r="X73" s="20">
        <v>8</v>
      </c>
      <c r="Y73" s="20">
        <v>0</v>
      </c>
      <c r="Z73" s="23">
        <v>6</v>
      </c>
      <c r="AA73" s="18">
        <v>6.263157895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A7F2F-9EDF-4F5E-B2C7-61E2BC528968}">
  <dimension ref="A1:F342"/>
  <sheetViews>
    <sheetView tabSelected="1" workbookViewId="0">
      <selection activeCell="B7" sqref="B7"/>
    </sheetView>
  </sheetViews>
  <sheetFormatPr defaultRowHeight="14.5" x14ac:dyDescent="0.35"/>
  <cols>
    <col min="1" max="1" width="12.90625" bestFit="1" customWidth="1"/>
    <col min="2" max="2" width="18.7265625" bestFit="1" customWidth="1"/>
    <col min="3" max="3" width="13.7265625" bestFit="1" customWidth="1"/>
    <col min="4" max="4" width="11.54296875" style="3" bestFit="1" customWidth="1"/>
    <col min="5" max="5" width="8.81640625" style="3"/>
    <col min="6" max="6" width="10.81640625" style="3" bestFit="1" customWidth="1"/>
  </cols>
  <sheetData>
    <row r="1" spans="1:6" s="29" customFormat="1" x14ac:dyDescent="0.35">
      <c r="A1" s="13" t="s">
        <v>0</v>
      </c>
      <c r="B1" s="13" t="s">
        <v>1</v>
      </c>
      <c r="C1" s="15" t="s">
        <v>42</v>
      </c>
      <c r="D1" s="28" t="s">
        <v>10</v>
      </c>
      <c r="E1" s="28" t="s">
        <v>8</v>
      </c>
      <c r="F1" s="28" t="s">
        <v>14</v>
      </c>
    </row>
    <row r="2" spans="1:6" x14ac:dyDescent="0.35">
      <c r="A2" s="16">
        <v>1</v>
      </c>
      <c r="B2" s="16" t="s">
        <v>3</v>
      </c>
      <c r="C2" s="18">
        <v>5.8947368420000004</v>
      </c>
      <c r="D2" s="10">
        <v>3</v>
      </c>
      <c r="E2" s="10">
        <v>2.5</v>
      </c>
      <c r="F2" s="10">
        <f>E2-D2</f>
        <v>-0.5</v>
      </c>
    </row>
    <row r="3" spans="1:6" x14ac:dyDescent="0.35">
      <c r="A3" s="16">
        <v>1</v>
      </c>
      <c r="B3" s="16" t="s">
        <v>4</v>
      </c>
      <c r="C3" s="18">
        <v>5.5789473679999997</v>
      </c>
      <c r="D3" s="10">
        <v>3</v>
      </c>
      <c r="E3" s="10">
        <v>2</v>
      </c>
      <c r="F3" s="10">
        <f t="shared" ref="F3:F66" si="0">E3-D3</f>
        <v>-1</v>
      </c>
    </row>
    <row r="4" spans="1:6" x14ac:dyDescent="0.35">
      <c r="A4" s="16">
        <v>1</v>
      </c>
      <c r="B4" s="16" t="s">
        <v>5</v>
      </c>
      <c r="C4" s="18">
        <v>5.9473684210000002</v>
      </c>
      <c r="D4" s="10">
        <v>3</v>
      </c>
      <c r="E4" s="10">
        <v>3</v>
      </c>
      <c r="F4" s="10">
        <f t="shared" si="0"/>
        <v>0</v>
      </c>
    </row>
    <row r="5" spans="1:6" x14ac:dyDescent="0.35">
      <c r="A5" s="16">
        <v>1</v>
      </c>
      <c r="B5" s="16" t="s">
        <v>6</v>
      </c>
      <c r="C5" s="18">
        <v>6.1052631579999996</v>
      </c>
      <c r="D5" s="10">
        <v>3</v>
      </c>
      <c r="E5" s="10">
        <v>1.7</v>
      </c>
      <c r="F5" s="10">
        <f t="shared" si="0"/>
        <v>-1.3</v>
      </c>
    </row>
    <row r="6" spans="1:6" x14ac:dyDescent="0.35">
      <c r="A6" s="19">
        <v>2</v>
      </c>
      <c r="B6" s="19" t="s">
        <v>3</v>
      </c>
      <c r="C6" s="18">
        <v>6.0526315789999998</v>
      </c>
      <c r="D6" s="4">
        <v>4</v>
      </c>
      <c r="E6" s="4">
        <v>2</v>
      </c>
      <c r="F6" s="4">
        <f t="shared" si="0"/>
        <v>-2</v>
      </c>
    </row>
    <row r="7" spans="1:6" x14ac:dyDescent="0.35">
      <c r="A7" s="19">
        <v>2</v>
      </c>
      <c r="B7" s="19" t="s">
        <v>4</v>
      </c>
      <c r="C7" s="18">
        <v>5.5789473679999997</v>
      </c>
      <c r="D7" s="4">
        <v>4</v>
      </c>
      <c r="E7" s="4">
        <v>3</v>
      </c>
      <c r="F7" s="4">
        <f t="shared" si="0"/>
        <v>-1</v>
      </c>
    </row>
    <row r="8" spans="1:6" x14ac:dyDescent="0.35">
      <c r="A8" s="19">
        <v>2</v>
      </c>
      <c r="B8" s="19" t="s">
        <v>5</v>
      </c>
      <c r="C8" s="18">
        <v>5.263157895</v>
      </c>
      <c r="D8" s="4">
        <v>4</v>
      </c>
      <c r="E8" s="4">
        <v>2</v>
      </c>
      <c r="F8" s="4">
        <f t="shared" si="0"/>
        <v>-2</v>
      </c>
    </row>
    <row r="9" spans="1:6" x14ac:dyDescent="0.35">
      <c r="A9" s="19">
        <v>2</v>
      </c>
      <c r="B9" s="19" t="s">
        <v>6</v>
      </c>
      <c r="C9" s="18">
        <v>5.1052631579999996</v>
      </c>
      <c r="D9" s="4">
        <v>4</v>
      </c>
      <c r="E9" s="4">
        <v>2</v>
      </c>
      <c r="F9" s="4">
        <f t="shared" si="0"/>
        <v>-2</v>
      </c>
    </row>
    <row r="10" spans="1:6" x14ac:dyDescent="0.35">
      <c r="A10" s="16">
        <v>3</v>
      </c>
      <c r="B10" s="16" t="s">
        <v>3</v>
      </c>
      <c r="C10" s="18">
        <v>5.4736842110000001</v>
      </c>
      <c r="D10" s="10">
        <v>0.8</v>
      </c>
      <c r="E10" s="10">
        <v>5</v>
      </c>
      <c r="F10" s="10">
        <f t="shared" si="0"/>
        <v>4.2</v>
      </c>
    </row>
    <row r="11" spans="1:6" x14ac:dyDescent="0.35">
      <c r="A11" s="16">
        <v>3</v>
      </c>
      <c r="B11" s="16" t="s">
        <v>4</v>
      </c>
      <c r="C11" s="18">
        <v>5.9473684210000002</v>
      </c>
      <c r="D11" s="10">
        <v>0.8</v>
      </c>
      <c r="E11" s="10">
        <v>2</v>
      </c>
      <c r="F11" s="10">
        <f t="shared" si="0"/>
        <v>1.2</v>
      </c>
    </row>
    <row r="12" spans="1:6" x14ac:dyDescent="0.35">
      <c r="A12" s="16">
        <v>3</v>
      </c>
      <c r="B12" s="16" t="s">
        <v>5</v>
      </c>
      <c r="C12" s="18">
        <v>6.3157894739999998</v>
      </c>
      <c r="D12" s="10">
        <v>0.8</v>
      </c>
      <c r="E12" s="10">
        <v>1</v>
      </c>
      <c r="F12" s="10">
        <f t="shared" si="0"/>
        <v>0.19999999999999996</v>
      </c>
    </row>
    <row r="13" spans="1:6" x14ac:dyDescent="0.35">
      <c r="A13" s="16">
        <v>3</v>
      </c>
      <c r="B13" s="16" t="s">
        <v>6</v>
      </c>
      <c r="C13" s="18">
        <v>6.1052631579999996</v>
      </c>
      <c r="D13" s="10">
        <v>0.8</v>
      </c>
      <c r="E13" s="10">
        <v>2</v>
      </c>
      <c r="F13" s="10">
        <f t="shared" si="0"/>
        <v>1.2</v>
      </c>
    </row>
    <row r="14" spans="1:6" s="27" customFormat="1" x14ac:dyDescent="0.35">
      <c r="A14" s="24">
        <v>4</v>
      </c>
      <c r="B14" s="24" t="s">
        <v>3</v>
      </c>
      <c r="C14" s="25">
        <v>5.263157895</v>
      </c>
      <c r="D14" s="26">
        <v>5</v>
      </c>
      <c r="E14" s="26">
        <v>5</v>
      </c>
      <c r="F14" s="26">
        <f t="shared" si="0"/>
        <v>0</v>
      </c>
    </row>
    <row r="15" spans="1:6" s="27" customFormat="1" x14ac:dyDescent="0.35">
      <c r="A15" s="24">
        <v>4</v>
      </c>
      <c r="B15" s="24" t="s">
        <v>4</v>
      </c>
      <c r="C15" s="25">
        <v>4.8421052629999997</v>
      </c>
      <c r="D15" s="26">
        <v>5</v>
      </c>
      <c r="E15" s="26">
        <v>5</v>
      </c>
      <c r="F15" s="26">
        <f t="shared" si="0"/>
        <v>0</v>
      </c>
    </row>
    <row r="16" spans="1:6" s="27" customFormat="1" x14ac:dyDescent="0.35">
      <c r="A16" s="24">
        <v>4</v>
      </c>
      <c r="B16" s="24" t="s">
        <v>5</v>
      </c>
      <c r="C16" s="25">
        <v>4.736842105</v>
      </c>
      <c r="D16" s="26">
        <v>5</v>
      </c>
      <c r="E16" s="26">
        <v>4</v>
      </c>
      <c r="F16" s="26">
        <f t="shared" si="0"/>
        <v>-1</v>
      </c>
    </row>
    <row r="17" spans="1:6" s="27" customFormat="1" x14ac:dyDescent="0.35">
      <c r="A17" s="24">
        <v>4</v>
      </c>
      <c r="B17" s="24" t="s">
        <v>6</v>
      </c>
      <c r="C17" s="25">
        <v>5.1052631579999996</v>
      </c>
      <c r="D17" s="26">
        <v>5</v>
      </c>
      <c r="E17" s="26">
        <v>5</v>
      </c>
      <c r="F17" s="26">
        <f t="shared" si="0"/>
        <v>0</v>
      </c>
    </row>
    <row r="18" spans="1:6" s="27" customFormat="1" x14ac:dyDescent="0.35">
      <c r="A18" s="24">
        <v>5</v>
      </c>
      <c r="B18" s="24" t="s">
        <v>3</v>
      </c>
      <c r="C18" s="25">
        <v>8</v>
      </c>
      <c r="D18" s="26">
        <v>4</v>
      </c>
      <c r="E18" s="26" t="s">
        <v>9</v>
      </c>
      <c r="F18" s="26" t="e">
        <f t="shared" si="0"/>
        <v>#VALUE!</v>
      </c>
    </row>
    <row r="19" spans="1:6" s="27" customFormat="1" x14ac:dyDescent="0.35">
      <c r="A19" s="24">
        <v>5</v>
      </c>
      <c r="B19" s="24" t="s">
        <v>4</v>
      </c>
      <c r="C19" s="25">
        <v>8</v>
      </c>
      <c r="D19" s="26">
        <v>4</v>
      </c>
      <c r="E19" s="26" t="s">
        <v>9</v>
      </c>
      <c r="F19" s="26" t="e">
        <f t="shared" si="0"/>
        <v>#VALUE!</v>
      </c>
    </row>
    <row r="20" spans="1:6" s="27" customFormat="1" x14ac:dyDescent="0.35">
      <c r="A20" s="24">
        <v>5</v>
      </c>
      <c r="B20" s="24" t="s">
        <v>5</v>
      </c>
      <c r="C20" s="25">
        <v>8</v>
      </c>
      <c r="D20" s="26">
        <v>4</v>
      </c>
      <c r="E20" s="26">
        <v>4</v>
      </c>
      <c r="F20" s="26">
        <f t="shared" si="0"/>
        <v>0</v>
      </c>
    </row>
    <row r="21" spans="1:6" s="27" customFormat="1" x14ac:dyDescent="0.35">
      <c r="A21" s="24">
        <v>5</v>
      </c>
      <c r="B21" s="24" t="s">
        <v>6</v>
      </c>
      <c r="C21" s="25">
        <v>8</v>
      </c>
      <c r="D21" s="26">
        <v>4</v>
      </c>
      <c r="E21" s="26">
        <v>5</v>
      </c>
      <c r="F21" s="26">
        <f t="shared" si="0"/>
        <v>1</v>
      </c>
    </row>
    <row r="22" spans="1:6" x14ac:dyDescent="0.35">
      <c r="A22" s="19">
        <v>6</v>
      </c>
      <c r="B22" s="19" t="s">
        <v>3</v>
      </c>
      <c r="C22" s="18">
        <v>4.0526315789999998</v>
      </c>
      <c r="D22" s="4">
        <v>2.5</v>
      </c>
      <c r="E22" s="4">
        <v>4</v>
      </c>
      <c r="F22" s="4">
        <f t="shared" si="0"/>
        <v>1.5</v>
      </c>
    </row>
    <row r="23" spans="1:6" x14ac:dyDescent="0.35">
      <c r="A23" s="19">
        <v>6</v>
      </c>
      <c r="B23" s="19" t="s">
        <v>4</v>
      </c>
      <c r="C23" s="18">
        <v>4.736842105</v>
      </c>
      <c r="D23" s="4">
        <v>2.5</v>
      </c>
      <c r="E23" s="4">
        <v>1</v>
      </c>
      <c r="F23" s="4">
        <f t="shared" si="0"/>
        <v>-1.5</v>
      </c>
    </row>
    <row r="24" spans="1:6" x14ac:dyDescent="0.35">
      <c r="A24" s="19">
        <v>6</v>
      </c>
      <c r="B24" s="19" t="s">
        <v>5</v>
      </c>
      <c r="C24" s="18">
        <v>5.263157895</v>
      </c>
      <c r="D24" s="4">
        <v>2.5</v>
      </c>
      <c r="E24" s="4">
        <v>2.5</v>
      </c>
      <c r="F24" s="4">
        <f t="shared" si="0"/>
        <v>0</v>
      </c>
    </row>
    <row r="25" spans="1:6" x14ac:dyDescent="0.35">
      <c r="A25" s="19">
        <v>6</v>
      </c>
      <c r="B25" s="19" t="s">
        <v>6</v>
      </c>
      <c r="C25" s="18">
        <v>5.3684210529999996</v>
      </c>
      <c r="D25" s="4">
        <v>2.5</v>
      </c>
      <c r="E25" s="4">
        <v>1.5</v>
      </c>
      <c r="F25" s="4">
        <f t="shared" si="0"/>
        <v>-1</v>
      </c>
    </row>
    <row r="26" spans="1:6" x14ac:dyDescent="0.35">
      <c r="A26" s="16">
        <v>7</v>
      </c>
      <c r="B26" s="16" t="s">
        <v>3</v>
      </c>
      <c r="C26" s="18">
        <v>6.3684210529999996</v>
      </c>
      <c r="D26" s="10">
        <v>5</v>
      </c>
      <c r="E26" s="10">
        <v>3</v>
      </c>
      <c r="F26" s="10">
        <f t="shared" si="0"/>
        <v>-2</v>
      </c>
    </row>
    <row r="27" spans="1:6" x14ac:dyDescent="0.35">
      <c r="A27" s="16">
        <v>7</v>
      </c>
      <c r="B27" s="16" t="s">
        <v>4</v>
      </c>
      <c r="C27" s="18">
        <v>6.3684210529999996</v>
      </c>
      <c r="D27" s="10">
        <v>5</v>
      </c>
      <c r="E27" s="10">
        <v>4</v>
      </c>
      <c r="F27" s="10">
        <f t="shared" si="0"/>
        <v>-1</v>
      </c>
    </row>
    <row r="28" spans="1:6" x14ac:dyDescent="0.35">
      <c r="A28" s="16">
        <v>7</v>
      </c>
      <c r="B28" s="16" t="s">
        <v>5</v>
      </c>
      <c r="C28" s="18">
        <v>7</v>
      </c>
      <c r="D28" s="10">
        <v>5</v>
      </c>
      <c r="E28" s="10">
        <v>2.8</v>
      </c>
      <c r="F28" s="10">
        <f t="shared" si="0"/>
        <v>-2.2000000000000002</v>
      </c>
    </row>
    <row r="29" spans="1:6" x14ac:dyDescent="0.35">
      <c r="A29" s="16">
        <v>7</v>
      </c>
      <c r="B29" s="16" t="s">
        <v>6</v>
      </c>
      <c r="C29" s="18">
        <v>6.263157895</v>
      </c>
      <c r="D29" s="10">
        <v>5</v>
      </c>
      <c r="E29" s="10">
        <v>2</v>
      </c>
      <c r="F29" s="10">
        <f t="shared" si="0"/>
        <v>-3</v>
      </c>
    </row>
    <row r="30" spans="1:6" x14ac:dyDescent="0.35">
      <c r="A30" s="19">
        <v>8</v>
      </c>
      <c r="B30" s="19" t="s">
        <v>3</v>
      </c>
      <c r="C30" s="18">
        <v>6.263157895</v>
      </c>
      <c r="D30" s="4">
        <v>6</v>
      </c>
      <c r="E30" s="4">
        <v>3</v>
      </c>
      <c r="F30" s="4">
        <f t="shared" si="0"/>
        <v>-3</v>
      </c>
    </row>
    <row r="31" spans="1:6" x14ac:dyDescent="0.35">
      <c r="A31" s="19">
        <v>8</v>
      </c>
      <c r="B31" s="19" t="s">
        <v>4</v>
      </c>
      <c r="C31" s="18">
        <v>6.1578947370000003</v>
      </c>
      <c r="D31" s="4">
        <v>6</v>
      </c>
      <c r="E31" s="4">
        <v>5</v>
      </c>
      <c r="F31" s="4">
        <f t="shared" si="0"/>
        <v>-1</v>
      </c>
    </row>
    <row r="32" spans="1:6" x14ac:dyDescent="0.35">
      <c r="A32" s="19">
        <v>8</v>
      </c>
      <c r="B32" s="19" t="s">
        <v>5</v>
      </c>
      <c r="C32" s="18">
        <v>6.1578947370000003</v>
      </c>
      <c r="D32" s="4">
        <v>6</v>
      </c>
      <c r="E32" s="4">
        <v>4</v>
      </c>
      <c r="F32" s="4">
        <f t="shared" si="0"/>
        <v>-2</v>
      </c>
    </row>
    <row r="33" spans="1:6" x14ac:dyDescent="0.35">
      <c r="A33" s="19">
        <v>8</v>
      </c>
      <c r="B33" s="19" t="s">
        <v>6</v>
      </c>
      <c r="C33" s="18">
        <v>5.5263157889999999</v>
      </c>
      <c r="D33" s="4">
        <v>6</v>
      </c>
      <c r="E33" s="4">
        <v>2</v>
      </c>
      <c r="F33" s="4">
        <f t="shared" si="0"/>
        <v>-4</v>
      </c>
    </row>
    <row r="34" spans="1:6" x14ac:dyDescent="0.35">
      <c r="A34" s="16">
        <v>9</v>
      </c>
      <c r="B34" s="16" t="s">
        <v>3</v>
      </c>
      <c r="C34" s="18">
        <v>6.2105263160000002</v>
      </c>
      <c r="D34" s="10">
        <v>1.2</v>
      </c>
      <c r="E34" s="10">
        <v>2.5</v>
      </c>
      <c r="F34" s="10">
        <f t="shared" si="0"/>
        <v>1.3</v>
      </c>
    </row>
    <row r="35" spans="1:6" x14ac:dyDescent="0.35">
      <c r="A35" s="16">
        <v>9</v>
      </c>
      <c r="B35" s="16" t="s">
        <v>4</v>
      </c>
      <c r="C35" s="18">
        <v>6.3684210529999996</v>
      </c>
      <c r="D35" s="10">
        <v>1.2</v>
      </c>
      <c r="E35" s="10">
        <v>2.5</v>
      </c>
      <c r="F35" s="10">
        <f t="shared" si="0"/>
        <v>1.3</v>
      </c>
    </row>
    <row r="36" spans="1:6" x14ac:dyDescent="0.35">
      <c r="A36" s="16">
        <v>9</v>
      </c>
      <c r="B36" s="16" t="s">
        <v>5</v>
      </c>
      <c r="C36" s="18">
        <v>6.5789473679999997</v>
      </c>
      <c r="D36" s="10">
        <v>1.2</v>
      </c>
      <c r="E36" s="10">
        <v>1</v>
      </c>
      <c r="F36" s="10">
        <f t="shared" si="0"/>
        <v>-0.19999999999999996</v>
      </c>
    </row>
    <row r="37" spans="1:6" x14ac:dyDescent="0.35">
      <c r="A37" s="16">
        <v>9</v>
      </c>
      <c r="B37" s="16" t="s">
        <v>6</v>
      </c>
      <c r="C37" s="18">
        <v>6.263157895</v>
      </c>
      <c r="D37" s="10">
        <v>1.2</v>
      </c>
      <c r="E37" s="10">
        <v>1</v>
      </c>
      <c r="F37" s="10">
        <f t="shared" si="0"/>
        <v>-0.19999999999999996</v>
      </c>
    </row>
    <row r="38" spans="1:6" x14ac:dyDescent="0.35">
      <c r="A38" s="19">
        <v>10</v>
      </c>
      <c r="B38" s="19" t="s">
        <v>3</v>
      </c>
      <c r="C38" s="18">
        <v>5.263157895</v>
      </c>
      <c r="D38" s="4">
        <v>1.5</v>
      </c>
      <c r="E38" s="4">
        <v>1</v>
      </c>
      <c r="F38" s="4">
        <f t="shared" si="0"/>
        <v>-0.5</v>
      </c>
    </row>
    <row r="39" spans="1:6" x14ac:dyDescent="0.35">
      <c r="A39" s="19">
        <v>10</v>
      </c>
      <c r="B39" s="19" t="s">
        <v>4</v>
      </c>
      <c r="C39" s="18">
        <v>5.3684210529999996</v>
      </c>
      <c r="D39" s="4">
        <v>1.5</v>
      </c>
      <c r="E39" s="4">
        <v>0.5</v>
      </c>
      <c r="F39" s="4">
        <f t="shared" si="0"/>
        <v>-1</v>
      </c>
    </row>
    <row r="40" spans="1:6" x14ac:dyDescent="0.35">
      <c r="A40" s="19">
        <v>10</v>
      </c>
      <c r="B40" s="19" t="s">
        <v>5</v>
      </c>
      <c r="C40" s="18">
        <v>5.4210526320000003</v>
      </c>
      <c r="D40" s="4">
        <v>1.5</v>
      </c>
      <c r="E40" s="4">
        <v>0.75</v>
      </c>
      <c r="F40" s="4">
        <f t="shared" si="0"/>
        <v>-0.75</v>
      </c>
    </row>
    <row r="41" spans="1:6" x14ac:dyDescent="0.35">
      <c r="A41" s="19">
        <v>10</v>
      </c>
      <c r="B41" s="19" t="s">
        <v>6</v>
      </c>
      <c r="C41" s="18">
        <v>5.6315789470000004</v>
      </c>
      <c r="D41" s="4">
        <v>1.5</v>
      </c>
      <c r="E41" s="4">
        <v>1.5</v>
      </c>
      <c r="F41" s="4">
        <f t="shared" si="0"/>
        <v>0</v>
      </c>
    </row>
    <row r="42" spans="1:6" x14ac:dyDescent="0.35">
      <c r="A42" s="16">
        <v>11</v>
      </c>
      <c r="B42" s="16" t="s">
        <v>3</v>
      </c>
      <c r="C42" s="18">
        <v>5.4736842110000001</v>
      </c>
      <c r="D42" s="10">
        <v>1</v>
      </c>
      <c r="E42" s="10">
        <v>0.5</v>
      </c>
      <c r="F42" s="10">
        <f t="shared" si="0"/>
        <v>-0.5</v>
      </c>
    </row>
    <row r="43" spans="1:6" x14ac:dyDescent="0.35">
      <c r="A43" s="16">
        <v>11</v>
      </c>
      <c r="B43" s="16" t="s">
        <v>4</v>
      </c>
      <c r="C43" s="18">
        <v>5.5263157889999999</v>
      </c>
      <c r="D43" s="10">
        <v>1</v>
      </c>
      <c r="E43" s="10">
        <v>0.5</v>
      </c>
      <c r="F43" s="10">
        <f t="shared" si="0"/>
        <v>-0.5</v>
      </c>
    </row>
    <row r="44" spans="1:6" x14ac:dyDescent="0.35">
      <c r="A44" s="16">
        <v>11</v>
      </c>
      <c r="B44" s="16" t="s">
        <v>5</v>
      </c>
      <c r="C44" s="18">
        <v>5.736842105</v>
      </c>
      <c r="D44" s="10">
        <v>1</v>
      </c>
      <c r="E44" s="10">
        <v>0.5</v>
      </c>
      <c r="F44" s="10">
        <f t="shared" si="0"/>
        <v>-0.5</v>
      </c>
    </row>
    <row r="45" spans="1:6" x14ac:dyDescent="0.35">
      <c r="A45" s="16">
        <v>11</v>
      </c>
      <c r="B45" s="16" t="s">
        <v>6</v>
      </c>
      <c r="C45" s="18">
        <v>6.1578947370000003</v>
      </c>
      <c r="D45" s="10">
        <v>1</v>
      </c>
      <c r="E45" s="10">
        <v>0.5</v>
      </c>
      <c r="F45" s="10">
        <f t="shared" si="0"/>
        <v>-0.5</v>
      </c>
    </row>
    <row r="46" spans="1:6" x14ac:dyDescent="0.35">
      <c r="A46" s="19">
        <v>12</v>
      </c>
      <c r="B46" s="19" t="s">
        <v>3</v>
      </c>
      <c r="C46" s="18">
        <v>6.1052631579999996</v>
      </c>
      <c r="D46" s="4">
        <v>5</v>
      </c>
      <c r="E46" s="4">
        <v>4</v>
      </c>
      <c r="F46" s="4">
        <f t="shared" si="0"/>
        <v>-1</v>
      </c>
    </row>
    <row r="47" spans="1:6" x14ac:dyDescent="0.35">
      <c r="A47" s="19">
        <v>12</v>
      </c>
      <c r="B47" s="19" t="s">
        <v>4</v>
      </c>
      <c r="C47" s="18">
        <v>6.1578947370000003</v>
      </c>
      <c r="D47" s="4">
        <v>5</v>
      </c>
      <c r="E47" s="4">
        <v>3</v>
      </c>
      <c r="F47" s="4">
        <f t="shared" si="0"/>
        <v>-2</v>
      </c>
    </row>
    <row r="48" spans="1:6" x14ac:dyDescent="0.35">
      <c r="A48" s="19">
        <v>12</v>
      </c>
      <c r="B48" s="19" t="s">
        <v>5</v>
      </c>
      <c r="C48" s="18">
        <v>6.2105263160000002</v>
      </c>
      <c r="D48" s="4">
        <v>5</v>
      </c>
      <c r="E48" s="4">
        <v>2</v>
      </c>
      <c r="F48" s="4">
        <f t="shared" si="0"/>
        <v>-3</v>
      </c>
    </row>
    <row r="49" spans="1:6" x14ac:dyDescent="0.35">
      <c r="A49" s="19">
        <v>12</v>
      </c>
      <c r="B49" s="19" t="s">
        <v>6</v>
      </c>
      <c r="C49" s="18">
        <v>6.3684210529999996</v>
      </c>
      <c r="D49" s="4">
        <v>5</v>
      </c>
      <c r="E49" s="4">
        <v>3.5</v>
      </c>
      <c r="F49" s="4">
        <f t="shared" si="0"/>
        <v>-1.5</v>
      </c>
    </row>
    <row r="50" spans="1:6" x14ac:dyDescent="0.35">
      <c r="A50" s="16">
        <v>13</v>
      </c>
      <c r="B50" s="16" t="s">
        <v>3</v>
      </c>
      <c r="C50" s="18">
        <v>6.4736842110000001</v>
      </c>
      <c r="D50" s="10">
        <v>4.5</v>
      </c>
      <c r="E50" s="10">
        <v>3</v>
      </c>
      <c r="F50" s="10">
        <f t="shared" si="0"/>
        <v>-1.5</v>
      </c>
    </row>
    <row r="51" spans="1:6" x14ac:dyDescent="0.35">
      <c r="A51" s="16">
        <v>13</v>
      </c>
      <c r="B51" s="16" t="s">
        <v>4</v>
      </c>
      <c r="C51" s="18">
        <v>6</v>
      </c>
      <c r="D51" s="10">
        <v>4.5</v>
      </c>
      <c r="E51" s="10">
        <v>3</v>
      </c>
      <c r="F51" s="10">
        <f t="shared" si="0"/>
        <v>-1.5</v>
      </c>
    </row>
    <row r="52" spans="1:6" x14ac:dyDescent="0.35">
      <c r="A52" s="16">
        <v>13</v>
      </c>
      <c r="B52" s="16" t="s">
        <v>5</v>
      </c>
      <c r="C52" s="18">
        <v>6.736842105</v>
      </c>
      <c r="D52" s="10">
        <v>4.5</v>
      </c>
      <c r="E52" s="10">
        <v>2</v>
      </c>
      <c r="F52" s="10">
        <f t="shared" si="0"/>
        <v>-2.5</v>
      </c>
    </row>
    <row r="53" spans="1:6" x14ac:dyDescent="0.35">
      <c r="A53" s="16">
        <v>13</v>
      </c>
      <c r="B53" s="16" t="s">
        <v>6</v>
      </c>
      <c r="C53" s="18">
        <v>6.4210526320000003</v>
      </c>
      <c r="D53" s="10">
        <v>4.5</v>
      </c>
      <c r="E53" s="10">
        <v>3</v>
      </c>
      <c r="F53" s="10">
        <f t="shared" si="0"/>
        <v>-1.5</v>
      </c>
    </row>
    <row r="54" spans="1:6" x14ac:dyDescent="0.35">
      <c r="A54" s="19">
        <v>14</v>
      </c>
      <c r="B54" s="19" t="s">
        <v>3</v>
      </c>
      <c r="C54" s="18">
        <v>5.3684210529999996</v>
      </c>
      <c r="D54" s="4">
        <v>1.3</v>
      </c>
      <c r="E54" s="4">
        <v>1.3</v>
      </c>
      <c r="F54" s="4">
        <f t="shared" si="0"/>
        <v>0</v>
      </c>
    </row>
    <row r="55" spans="1:6" x14ac:dyDescent="0.35">
      <c r="A55" s="19">
        <v>14</v>
      </c>
      <c r="B55" s="19" t="s">
        <v>4</v>
      </c>
      <c r="C55" s="18">
        <v>5.3157894739999998</v>
      </c>
      <c r="D55" s="4">
        <v>1.3</v>
      </c>
      <c r="E55" s="4">
        <v>1</v>
      </c>
      <c r="F55" s="4">
        <f t="shared" si="0"/>
        <v>-0.30000000000000004</v>
      </c>
    </row>
    <row r="56" spans="1:6" x14ac:dyDescent="0.35">
      <c r="A56" s="19">
        <v>14</v>
      </c>
      <c r="B56" s="19" t="s">
        <v>5</v>
      </c>
      <c r="C56" s="18">
        <v>6.2105263160000002</v>
      </c>
      <c r="D56" s="4">
        <v>1.3</v>
      </c>
      <c r="E56" s="4">
        <v>0.7</v>
      </c>
      <c r="F56" s="4">
        <f t="shared" si="0"/>
        <v>-0.60000000000000009</v>
      </c>
    </row>
    <row r="57" spans="1:6" x14ac:dyDescent="0.35">
      <c r="A57" s="19">
        <v>14</v>
      </c>
      <c r="B57" s="19" t="s">
        <v>6</v>
      </c>
      <c r="C57" s="18">
        <v>6.2105263160000002</v>
      </c>
      <c r="D57" s="4">
        <v>1.3</v>
      </c>
      <c r="E57" s="4">
        <v>0.4</v>
      </c>
      <c r="F57" s="4">
        <f t="shared" si="0"/>
        <v>-0.9</v>
      </c>
    </row>
    <row r="58" spans="1:6" x14ac:dyDescent="0.35">
      <c r="A58" s="16">
        <v>15</v>
      </c>
      <c r="B58" s="16" t="s">
        <v>3</v>
      </c>
      <c r="C58" s="18">
        <v>5.8421052629999997</v>
      </c>
      <c r="D58" s="10">
        <v>1.3</v>
      </c>
      <c r="E58" s="10">
        <v>0.4</v>
      </c>
      <c r="F58" s="10">
        <f t="shared" si="0"/>
        <v>-0.9</v>
      </c>
    </row>
    <row r="59" spans="1:6" x14ac:dyDescent="0.35">
      <c r="A59" s="16">
        <v>15</v>
      </c>
      <c r="B59" s="16" t="s">
        <v>4</v>
      </c>
      <c r="C59" s="18">
        <v>6.1578947370000003</v>
      </c>
      <c r="D59" s="10">
        <v>1.3</v>
      </c>
      <c r="E59" s="10">
        <v>1.2</v>
      </c>
      <c r="F59" s="10">
        <f t="shared" si="0"/>
        <v>-0.10000000000000009</v>
      </c>
    </row>
    <row r="60" spans="1:6" x14ac:dyDescent="0.35">
      <c r="A60" s="16">
        <v>15</v>
      </c>
      <c r="B60" s="16" t="s">
        <v>5</v>
      </c>
      <c r="C60" s="18">
        <v>6.1578947370000003</v>
      </c>
      <c r="D60" s="10">
        <v>1.3</v>
      </c>
      <c r="E60" s="10">
        <v>1</v>
      </c>
      <c r="F60" s="10">
        <f t="shared" si="0"/>
        <v>-0.30000000000000004</v>
      </c>
    </row>
    <row r="61" spans="1:6" x14ac:dyDescent="0.35">
      <c r="A61" s="16">
        <v>15</v>
      </c>
      <c r="B61" s="16" t="s">
        <v>6</v>
      </c>
      <c r="C61" s="18">
        <v>6.3684210529999996</v>
      </c>
      <c r="D61" s="10">
        <v>1.3</v>
      </c>
      <c r="E61" s="10">
        <v>0.8</v>
      </c>
      <c r="F61" s="10">
        <f t="shared" si="0"/>
        <v>-0.5</v>
      </c>
    </row>
    <row r="62" spans="1:6" x14ac:dyDescent="0.35">
      <c r="A62" s="19">
        <v>16</v>
      </c>
      <c r="B62" s="19" t="s">
        <v>3</v>
      </c>
      <c r="C62" s="18">
        <v>6.1578947370000003</v>
      </c>
      <c r="D62" s="4">
        <v>4</v>
      </c>
      <c r="E62" s="4">
        <v>1.5</v>
      </c>
      <c r="F62" s="4">
        <f t="shared" si="0"/>
        <v>-2.5</v>
      </c>
    </row>
    <row r="63" spans="1:6" x14ac:dyDescent="0.35">
      <c r="A63" s="19">
        <v>16</v>
      </c>
      <c r="B63" s="19" t="s">
        <v>4</v>
      </c>
      <c r="C63" s="18">
        <v>5.9473684210000002</v>
      </c>
      <c r="D63" s="4">
        <v>4</v>
      </c>
      <c r="E63" s="4">
        <v>2</v>
      </c>
      <c r="F63" s="4">
        <f t="shared" si="0"/>
        <v>-2</v>
      </c>
    </row>
    <row r="64" spans="1:6" x14ac:dyDescent="0.35">
      <c r="A64" s="19">
        <v>16</v>
      </c>
      <c r="B64" s="19" t="s">
        <v>5</v>
      </c>
      <c r="C64" s="18">
        <v>6.6315789470000004</v>
      </c>
      <c r="D64" s="4">
        <v>4</v>
      </c>
      <c r="E64" s="4">
        <v>1.2</v>
      </c>
      <c r="F64" s="4">
        <f t="shared" si="0"/>
        <v>-2.8</v>
      </c>
    </row>
    <row r="65" spans="1:6" x14ac:dyDescent="0.35">
      <c r="A65" s="19">
        <v>16</v>
      </c>
      <c r="B65" s="19" t="s">
        <v>6</v>
      </c>
      <c r="C65" s="18">
        <v>6.736842105</v>
      </c>
      <c r="D65" s="4">
        <v>4</v>
      </c>
      <c r="E65" s="4">
        <v>1</v>
      </c>
      <c r="F65" s="4">
        <f t="shared" si="0"/>
        <v>-3</v>
      </c>
    </row>
    <row r="66" spans="1:6" x14ac:dyDescent="0.35">
      <c r="A66" s="16">
        <v>17</v>
      </c>
      <c r="B66" s="16" t="s">
        <v>3</v>
      </c>
      <c r="C66" s="18">
        <v>5</v>
      </c>
      <c r="D66" s="10">
        <v>4</v>
      </c>
      <c r="E66" s="10">
        <v>1</v>
      </c>
      <c r="F66" s="10">
        <f t="shared" si="0"/>
        <v>-3</v>
      </c>
    </row>
    <row r="67" spans="1:6" x14ac:dyDescent="0.35">
      <c r="A67" s="16">
        <v>17</v>
      </c>
      <c r="B67" s="16" t="s">
        <v>4</v>
      </c>
      <c r="C67" s="18">
        <v>5.1052631579999996</v>
      </c>
      <c r="D67" s="10">
        <v>4</v>
      </c>
      <c r="E67" s="10">
        <v>0</v>
      </c>
      <c r="F67" s="10">
        <f t="shared" ref="F67:F73" si="1">E67-D67</f>
        <v>-4</v>
      </c>
    </row>
    <row r="68" spans="1:6" x14ac:dyDescent="0.35">
      <c r="A68" s="16">
        <v>17</v>
      </c>
      <c r="B68" s="16" t="s">
        <v>5</v>
      </c>
      <c r="C68" s="18">
        <v>6.2105263160000002</v>
      </c>
      <c r="D68" s="10">
        <v>4</v>
      </c>
      <c r="E68" s="10">
        <v>0</v>
      </c>
      <c r="F68" s="10">
        <f t="shared" si="1"/>
        <v>-4</v>
      </c>
    </row>
    <row r="69" spans="1:6" x14ac:dyDescent="0.35">
      <c r="A69" s="16">
        <v>17</v>
      </c>
      <c r="B69" s="16" t="s">
        <v>6</v>
      </c>
      <c r="C69" s="18">
        <v>5.3684210529999996</v>
      </c>
      <c r="D69" s="10">
        <v>4</v>
      </c>
      <c r="E69" s="10">
        <v>0</v>
      </c>
      <c r="F69" s="10">
        <f t="shared" si="1"/>
        <v>-4</v>
      </c>
    </row>
    <row r="70" spans="1:6" x14ac:dyDescent="0.35">
      <c r="A70" s="19">
        <v>18</v>
      </c>
      <c r="B70" s="19" t="s">
        <v>3</v>
      </c>
      <c r="C70" s="18">
        <v>6.4736842110000001</v>
      </c>
      <c r="D70" s="4">
        <v>4</v>
      </c>
      <c r="E70" s="4">
        <v>3</v>
      </c>
      <c r="F70" s="4">
        <f t="shared" si="1"/>
        <v>-1</v>
      </c>
    </row>
    <row r="71" spans="1:6" x14ac:dyDescent="0.35">
      <c r="A71" s="19">
        <v>18</v>
      </c>
      <c r="B71" s="19" t="s">
        <v>4</v>
      </c>
      <c r="C71" s="18">
        <v>6.3684210529999996</v>
      </c>
      <c r="D71" s="4">
        <v>4</v>
      </c>
      <c r="E71" s="4">
        <v>3</v>
      </c>
      <c r="F71" s="4">
        <f t="shared" si="1"/>
        <v>-1</v>
      </c>
    </row>
    <row r="72" spans="1:6" x14ac:dyDescent="0.35">
      <c r="A72" s="19">
        <v>18</v>
      </c>
      <c r="B72" s="19" t="s">
        <v>5</v>
      </c>
      <c r="C72" s="18">
        <v>5.5789473679999997</v>
      </c>
      <c r="D72" s="4">
        <v>4</v>
      </c>
      <c r="E72" s="4">
        <v>2.75</v>
      </c>
      <c r="F72" s="4">
        <f t="shared" si="1"/>
        <v>-1.25</v>
      </c>
    </row>
    <row r="73" spans="1:6" x14ac:dyDescent="0.35">
      <c r="A73" s="19">
        <v>18</v>
      </c>
      <c r="B73" s="19" t="s">
        <v>6</v>
      </c>
      <c r="C73" s="18">
        <v>6.263157895</v>
      </c>
      <c r="D73" s="4">
        <v>4</v>
      </c>
      <c r="E73" s="4">
        <v>2</v>
      </c>
      <c r="F73" s="4">
        <f t="shared" si="1"/>
        <v>-2</v>
      </c>
    </row>
    <row r="74" spans="1:6" x14ac:dyDescent="0.35">
      <c r="D74" s="4"/>
      <c r="E74" s="4"/>
      <c r="F74" s="4"/>
    </row>
    <row r="75" spans="1:6" x14ac:dyDescent="0.35">
      <c r="D75" s="4"/>
      <c r="E75" s="4"/>
      <c r="F75" s="4"/>
    </row>
    <row r="76" spans="1:6" x14ac:dyDescent="0.35">
      <c r="D76" s="4"/>
      <c r="E76" s="4"/>
      <c r="F76" s="4"/>
    </row>
    <row r="77" spans="1:6" x14ac:dyDescent="0.35">
      <c r="D77" s="4"/>
      <c r="E77" s="4"/>
      <c r="F77" s="4"/>
    </row>
    <row r="78" spans="1:6" x14ac:dyDescent="0.35">
      <c r="D78" s="4"/>
      <c r="E78" s="4"/>
      <c r="F78" s="4"/>
    </row>
    <row r="79" spans="1:6" x14ac:dyDescent="0.35">
      <c r="D79" s="4"/>
      <c r="E79" s="4"/>
      <c r="F79" s="4"/>
    </row>
    <row r="80" spans="1:6" x14ac:dyDescent="0.35">
      <c r="D80" s="4"/>
      <c r="E80" s="4"/>
      <c r="F80" s="4"/>
    </row>
    <row r="81" spans="4:6" x14ac:dyDescent="0.35">
      <c r="D81" s="4"/>
      <c r="E81" s="4"/>
      <c r="F81" s="4"/>
    </row>
    <row r="82" spans="4:6" x14ac:dyDescent="0.35">
      <c r="D82" s="4"/>
      <c r="E82" s="4"/>
      <c r="F82" s="4"/>
    </row>
    <row r="83" spans="4:6" x14ac:dyDescent="0.35">
      <c r="D83" s="4"/>
      <c r="E83" s="4"/>
      <c r="F83" s="4"/>
    </row>
    <row r="84" spans="4:6" x14ac:dyDescent="0.35">
      <c r="D84" s="4"/>
      <c r="E84" s="4"/>
      <c r="F84" s="4"/>
    </row>
    <row r="85" spans="4:6" x14ac:dyDescent="0.35">
      <c r="D85" s="4"/>
      <c r="E85" s="4"/>
      <c r="F85" s="4"/>
    </row>
    <row r="86" spans="4:6" x14ac:dyDescent="0.35">
      <c r="D86" s="4"/>
      <c r="E86" s="4"/>
      <c r="F86" s="4"/>
    </row>
    <row r="87" spans="4:6" x14ac:dyDescent="0.35">
      <c r="D87" s="4"/>
      <c r="E87" s="4"/>
      <c r="F87" s="4"/>
    </row>
    <row r="88" spans="4:6" x14ac:dyDescent="0.35">
      <c r="D88" s="4"/>
      <c r="E88" s="4"/>
      <c r="F88" s="4"/>
    </row>
    <row r="89" spans="4:6" x14ac:dyDescent="0.35">
      <c r="D89" s="4"/>
      <c r="E89" s="4"/>
      <c r="F89" s="4"/>
    </row>
    <row r="90" spans="4:6" x14ac:dyDescent="0.35">
      <c r="D90" s="4"/>
      <c r="E90" s="4"/>
      <c r="F90" s="4"/>
    </row>
    <row r="91" spans="4:6" x14ac:dyDescent="0.35">
      <c r="D91" s="4"/>
      <c r="E91" s="4"/>
      <c r="F91" s="4"/>
    </row>
    <row r="92" spans="4:6" x14ac:dyDescent="0.35">
      <c r="D92" s="4"/>
      <c r="E92" s="4"/>
      <c r="F92" s="4"/>
    </row>
    <row r="93" spans="4:6" x14ac:dyDescent="0.35">
      <c r="D93" s="4"/>
      <c r="E93" s="4"/>
      <c r="F93" s="4"/>
    </row>
    <row r="94" spans="4:6" x14ac:dyDescent="0.35">
      <c r="D94" s="4"/>
      <c r="E94" s="4"/>
      <c r="F94" s="4"/>
    </row>
    <row r="95" spans="4:6" x14ac:dyDescent="0.35">
      <c r="D95" s="4"/>
      <c r="E95" s="4"/>
      <c r="F95" s="4"/>
    </row>
    <row r="96" spans="4:6" x14ac:dyDescent="0.35">
      <c r="D96" s="4"/>
      <c r="E96" s="4"/>
      <c r="F96" s="4"/>
    </row>
    <row r="97" spans="4:6" x14ac:dyDescent="0.35">
      <c r="D97" s="4"/>
      <c r="E97" s="4"/>
      <c r="F97" s="4"/>
    </row>
    <row r="98" spans="4:6" x14ac:dyDescent="0.35">
      <c r="D98" s="4"/>
      <c r="E98" s="4"/>
      <c r="F98" s="4"/>
    </row>
    <row r="99" spans="4:6" x14ac:dyDescent="0.35">
      <c r="D99" s="4"/>
      <c r="E99" s="4"/>
      <c r="F99" s="4"/>
    </row>
    <row r="100" spans="4:6" x14ac:dyDescent="0.35">
      <c r="D100" s="4"/>
      <c r="E100" s="4"/>
      <c r="F100" s="4"/>
    </row>
    <row r="101" spans="4:6" x14ac:dyDescent="0.35">
      <c r="D101" s="4"/>
      <c r="E101" s="4"/>
      <c r="F101" s="4"/>
    </row>
    <row r="102" spans="4:6" x14ac:dyDescent="0.35">
      <c r="D102" s="4"/>
      <c r="E102" s="4"/>
      <c r="F102" s="4"/>
    </row>
    <row r="103" spans="4:6" x14ac:dyDescent="0.35">
      <c r="D103" s="4"/>
      <c r="E103" s="4"/>
      <c r="F103" s="4"/>
    </row>
    <row r="104" spans="4:6" x14ac:dyDescent="0.35">
      <c r="D104" s="4"/>
      <c r="E104" s="4"/>
      <c r="F104" s="4"/>
    </row>
    <row r="105" spans="4:6" x14ac:dyDescent="0.35">
      <c r="D105" s="4"/>
      <c r="E105" s="4"/>
      <c r="F105" s="4"/>
    </row>
    <row r="106" spans="4:6" x14ac:dyDescent="0.35">
      <c r="D106" s="4"/>
      <c r="E106" s="4"/>
      <c r="F106" s="4"/>
    </row>
    <row r="107" spans="4:6" x14ac:dyDescent="0.35">
      <c r="D107" s="4"/>
      <c r="E107" s="4"/>
      <c r="F107" s="4"/>
    </row>
    <row r="108" spans="4:6" x14ac:dyDescent="0.35">
      <c r="D108" s="4"/>
      <c r="E108" s="4"/>
      <c r="F108" s="4"/>
    </row>
    <row r="109" spans="4:6" x14ac:dyDescent="0.35">
      <c r="D109" s="4"/>
      <c r="E109" s="4"/>
      <c r="F109" s="4"/>
    </row>
    <row r="110" spans="4:6" x14ac:dyDescent="0.35">
      <c r="D110" s="4"/>
      <c r="E110" s="4"/>
      <c r="F110" s="4"/>
    </row>
    <row r="111" spans="4:6" x14ac:dyDescent="0.35">
      <c r="D111" s="4"/>
      <c r="E111" s="4"/>
      <c r="F111" s="4"/>
    </row>
    <row r="112" spans="4:6" x14ac:dyDescent="0.35">
      <c r="D112" s="4"/>
      <c r="E112" s="4"/>
      <c r="F112" s="4"/>
    </row>
    <row r="113" spans="4:6" x14ac:dyDescent="0.35">
      <c r="D113" s="4"/>
      <c r="E113" s="4"/>
      <c r="F113" s="4"/>
    </row>
    <row r="114" spans="4:6" x14ac:dyDescent="0.35">
      <c r="D114" s="4"/>
      <c r="E114" s="4"/>
      <c r="F114" s="4"/>
    </row>
    <row r="115" spans="4:6" x14ac:dyDescent="0.35">
      <c r="D115" s="4"/>
      <c r="E115" s="4"/>
      <c r="F115" s="4"/>
    </row>
    <row r="116" spans="4:6" x14ac:dyDescent="0.35">
      <c r="D116" s="4"/>
      <c r="E116" s="4"/>
      <c r="F116" s="4"/>
    </row>
    <row r="117" spans="4:6" x14ac:dyDescent="0.35">
      <c r="D117" s="4"/>
      <c r="E117" s="4"/>
      <c r="F117" s="4"/>
    </row>
    <row r="118" spans="4:6" x14ac:dyDescent="0.35">
      <c r="D118" s="4"/>
      <c r="E118" s="4"/>
      <c r="F118" s="4"/>
    </row>
    <row r="119" spans="4:6" x14ac:dyDescent="0.35">
      <c r="D119" s="4"/>
      <c r="E119" s="4"/>
      <c r="F119" s="4"/>
    </row>
    <row r="120" spans="4:6" x14ac:dyDescent="0.35">
      <c r="D120" s="4"/>
      <c r="E120" s="4"/>
      <c r="F120" s="4"/>
    </row>
    <row r="121" spans="4:6" x14ac:dyDescent="0.35">
      <c r="D121" s="4"/>
      <c r="E121" s="4"/>
      <c r="F121" s="4"/>
    </row>
    <row r="122" spans="4:6" x14ac:dyDescent="0.35">
      <c r="D122" s="4"/>
      <c r="E122" s="4"/>
      <c r="F122" s="4"/>
    </row>
    <row r="123" spans="4:6" x14ac:dyDescent="0.35">
      <c r="D123" s="4"/>
      <c r="E123" s="4"/>
      <c r="F123" s="4"/>
    </row>
    <row r="124" spans="4:6" x14ac:dyDescent="0.35">
      <c r="D124" s="4"/>
      <c r="E124" s="4"/>
      <c r="F124" s="4"/>
    </row>
    <row r="125" spans="4:6" x14ac:dyDescent="0.35">
      <c r="D125" s="4"/>
      <c r="E125" s="4"/>
      <c r="F125" s="4"/>
    </row>
    <row r="126" spans="4:6" x14ac:dyDescent="0.35">
      <c r="D126" s="4"/>
      <c r="E126" s="4"/>
      <c r="F126" s="4"/>
    </row>
    <row r="127" spans="4:6" x14ac:dyDescent="0.35">
      <c r="D127" s="4"/>
      <c r="E127" s="4"/>
      <c r="F127" s="4"/>
    </row>
    <row r="128" spans="4:6" x14ac:dyDescent="0.35">
      <c r="D128" s="4"/>
      <c r="E128" s="4"/>
      <c r="F128" s="4"/>
    </row>
    <row r="129" spans="4:6" x14ac:dyDescent="0.35">
      <c r="D129" s="4"/>
      <c r="E129" s="4"/>
      <c r="F129" s="4"/>
    </row>
    <row r="130" spans="4:6" x14ac:dyDescent="0.35">
      <c r="D130" s="4"/>
      <c r="E130" s="4"/>
      <c r="F130" s="4"/>
    </row>
    <row r="131" spans="4:6" x14ac:dyDescent="0.35">
      <c r="D131" s="4"/>
      <c r="E131" s="4"/>
      <c r="F131" s="4"/>
    </row>
    <row r="132" spans="4:6" x14ac:dyDescent="0.35">
      <c r="D132" s="4"/>
      <c r="E132" s="4"/>
      <c r="F132" s="4"/>
    </row>
    <row r="133" spans="4:6" x14ac:dyDescent="0.35">
      <c r="D133" s="4"/>
      <c r="E133" s="4"/>
      <c r="F133" s="4"/>
    </row>
    <row r="134" spans="4:6" x14ac:dyDescent="0.35">
      <c r="D134" s="4"/>
      <c r="E134" s="4"/>
      <c r="F134" s="4"/>
    </row>
    <row r="135" spans="4:6" x14ac:dyDescent="0.35">
      <c r="D135" s="4"/>
      <c r="E135" s="4"/>
      <c r="F135" s="4"/>
    </row>
    <row r="136" spans="4:6" x14ac:dyDescent="0.35">
      <c r="D136" s="4"/>
      <c r="E136" s="4"/>
      <c r="F136" s="4"/>
    </row>
    <row r="137" spans="4:6" x14ac:dyDescent="0.35">
      <c r="D137" s="4"/>
      <c r="E137" s="4"/>
      <c r="F137" s="4"/>
    </row>
    <row r="138" spans="4:6" x14ac:dyDescent="0.35">
      <c r="D138" s="4"/>
      <c r="E138" s="4"/>
      <c r="F138" s="4"/>
    </row>
    <row r="139" spans="4:6" x14ac:dyDescent="0.35">
      <c r="D139" s="4"/>
      <c r="E139" s="4"/>
      <c r="F139" s="4"/>
    </row>
    <row r="140" spans="4:6" x14ac:dyDescent="0.35">
      <c r="D140" s="4"/>
      <c r="E140" s="4"/>
      <c r="F140" s="4"/>
    </row>
    <row r="141" spans="4:6" x14ac:dyDescent="0.35">
      <c r="D141" s="4"/>
      <c r="E141" s="4"/>
      <c r="F141" s="4"/>
    </row>
    <row r="142" spans="4:6" x14ac:dyDescent="0.35">
      <c r="D142" s="4"/>
      <c r="E142" s="4"/>
      <c r="F142" s="4"/>
    </row>
    <row r="143" spans="4:6" x14ac:dyDescent="0.35">
      <c r="D143" s="4"/>
      <c r="E143" s="4"/>
      <c r="F143" s="4"/>
    </row>
    <row r="144" spans="4:6" x14ac:dyDescent="0.35">
      <c r="D144" s="4"/>
      <c r="E144" s="4"/>
      <c r="F144" s="4"/>
    </row>
    <row r="145" spans="4:6" x14ac:dyDescent="0.35">
      <c r="D145" s="4"/>
      <c r="E145" s="4"/>
      <c r="F145" s="4"/>
    </row>
    <row r="146" spans="4:6" x14ac:dyDescent="0.35">
      <c r="D146" s="4"/>
      <c r="E146" s="4"/>
      <c r="F146" s="4"/>
    </row>
    <row r="147" spans="4:6" x14ac:dyDescent="0.35">
      <c r="D147" s="4"/>
      <c r="E147" s="4"/>
      <c r="F147" s="4"/>
    </row>
    <row r="148" spans="4:6" x14ac:dyDescent="0.35">
      <c r="D148" s="4"/>
      <c r="E148" s="4"/>
      <c r="F148" s="4"/>
    </row>
    <row r="149" spans="4:6" x14ac:dyDescent="0.35">
      <c r="D149" s="4"/>
      <c r="E149" s="4"/>
      <c r="F149" s="4"/>
    </row>
    <row r="150" spans="4:6" x14ac:dyDescent="0.35">
      <c r="D150" s="4"/>
      <c r="E150" s="4"/>
      <c r="F150" s="4"/>
    </row>
    <row r="151" spans="4:6" x14ac:dyDescent="0.35">
      <c r="D151" s="4"/>
      <c r="E151" s="4"/>
      <c r="F151" s="4"/>
    </row>
    <row r="152" spans="4:6" x14ac:dyDescent="0.35">
      <c r="D152" s="4"/>
      <c r="E152" s="4"/>
      <c r="F152" s="4"/>
    </row>
    <row r="153" spans="4:6" x14ac:dyDescent="0.35">
      <c r="D153" s="4"/>
      <c r="E153" s="4"/>
      <c r="F153" s="4"/>
    </row>
    <row r="154" spans="4:6" x14ac:dyDescent="0.35">
      <c r="D154" s="4"/>
      <c r="E154" s="4"/>
      <c r="F154" s="4"/>
    </row>
    <row r="155" spans="4:6" x14ac:dyDescent="0.35">
      <c r="D155" s="4"/>
      <c r="E155" s="4"/>
      <c r="F155" s="4"/>
    </row>
    <row r="156" spans="4:6" x14ac:dyDescent="0.35">
      <c r="D156" s="4"/>
      <c r="E156" s="4"/>
      <c r="F156" s="4"/>
    </row>
    <row r="157" spans="4:6" x14ac:dyDescent="0.35">
      <c r="D157" s="4"/>
      <c r="E157" s="4"/>
      <c r="F157" s="4"/>
    </row>
    <row r="158" spans="4:6" x14ac:dyDescent="0.35">
      <c r="D158" s="4"/>
      <c r="E158" s="4"/>
      <c r="F158" s="4"/>
    </row>
    <row r="159" spans="4:6" x14ac:dyDescent="0.35">
      <c r="D159" s="4"/>
      <c r="E159" s="4"/>
      <c r="F159" s="4"/>
    </row>
    <row r="160" spans="4:6" x14ac:dyDescent="0.35">
      <c r="D160" s="4"/>
      <c r="E160" s="4"/>
      <c r="F160" s="4"/>
    </row>
    <row r="161" spans="4:6" x14ac:dyDescent="0.35">
      <c r="D161" s="4"/>
      <c r="E161" s="4"/>
      <c r="F161" s="4"/>
    </row>
    <row r="162" spans="4:6" x14ac:dyDescent="0.35">
      <c r="D162" s="4"/>
      <c r="E162" s="4"/>
      <c r="F162" s="4"/>
    </row>
    <row r="163" spans="4:6" x14ac:dyDescent="0.35">
      <c r="D163" s="4"/>
      <c r="E163" s="4"/>
      <c r="F163" s="4"/>
    </row>
    <row r="164" spans="4:6" x14ac:dyDescent="0.35">
      <c r="D164" s="4"/>
      <c r="E164" s="4"/>
      <c r="F164" s="4"/>
    </row>
    <row r="165" spans="4:6" x14ac:dyDescent="0.35">
      <c r="D165" s="4"/>
      <c r="E165" s="4"/>
      <c r="F165" s="4"/>
    </row>
    <row r="166" spans="4:6" x14ac:dyDescent="0.35">
      <c r="D166" s="4"/>
      <c r="E166" s="4"/>
      <c r="F166" s="4"/>
    </row>
    <row r="167" spans="4:6" x14ac:dyDescent="0.35">
      <c r="D167" s="4"/>
      <c r="E167" s="4"/>
      <c r="F167" s="4"/>
    </row>
    <row r="168" spans="4:6" x14ac:dyDescent="0.35">
      <c r="D168" s="4"/>
      <c r="E168" s="4"/>
      <c r="F168" s="4"/>
    </row>
    <row r="169" spans="4:6" x14ac:dyDescent="0.35">
      <c r="D169" s="4"/>
      <c r="E169" s="4"/>
      <c r="F169" s="4"/>
    </row>
    <row r="170" spans="4:6" x14ac:dyDescent="0.35">
      <c r="D170" s="4"/>
      <c r="E170" s="4"/>
      <c r="F170" s="4"/>
    </row>
    <row r="171" spans="4:6" x14ac:dyDescent="0.35">
      <c r="D171" s="4"/>
      <c r="E171" s="4"/>
      <c r="F171" s="4"/>
    </row>
    <row r="172" spans="4:6" x14ac:dyDescent="0.35">
      <c r="D172" s="4"/>
      <c r="E172" s="4"/>
      <c r="F172" s="4"/>
    </row>
    <row r="173" spans="4:6" x14ac:dyDescent="0.35">
      <c r="D173" s="4"/>
      <c r="E173" s="4"/>
      <c r="F173" s="4"/>
    </row>
    <row r="174" spans="4:6" x14ac:dyDescent="0.35">
      <c r="D174" s="4"/>
      <c r="E174" s="4"/>
      <c r="F174" s="4"/>
    </row>
    <row r="175" spans="4:6" x14ac:dyDescent="0.35">
      <c r="D175" s="4"/>
      <c r="E175" s="4"/>
      <c r="F175" s="4"/>
    </row>
    <row r="176" spans="4:6" x14ac:dyDescent="0.35">
      <c r="D176" s="4"/>
      <c r="E176" s="4"/>
      <c r="F176" s="4"/>
    </row>
    <row r="177" spans="4:6" x14ac:dyDescent="0.35">
      <c r="D177" s="4"/>
      <c r="E177" s="4"/>
      <c r="F177" s="4"/>
    </row>
    <row r="178" spans="4:6" x14ac:dyDescent="0.35">
      <c r="D178" s="4"/>
      <c r="E178" s="4"/>
      <c r="F178" s="4"/>
    </row>
    <row r="179" spans="4:6" x14ac:dyDescent="0.35">
      <c r="D179" s="4"/>
      <c r="E179" s="4"/>
      <c r="F179" s="4"/>
    </row>
    <row r="180" spans="4:6" x14ac:dyDescent="0.35">
      <c r="D180" s="4"/>
      <c r="E180" s="4"/>
      <c r="F180" s="4"/>
    </row>
    <row r="181" spans="4:6" x14ac:dyDescent="0.35">
      <c r="D181" s="4"/>
      <c r="E181" s="4"/>
      <c r="F181" s="4"/>
    </row>
    <row r="182" spans="4:6" x14ac:dyDescent="0.35">
      <c r="D182" s="4"/>
      <c r="E182" s="4"/>
      <c r="F182" s="4"/>
    </row>
    <row r="183" spans="4:6" x14ac:dyDescent="0.35">
      <c r="D183" s="4"/>
      <c r="E183" s="4"/>
      <c r="F183" s="4"/>
    </row>
    <row r="184" spans="4:6" x14ac:dyDescent="0.35">
      <c r="D184" s="4"/>
      <c r="E184" s="4"/>
      <c r="F184" s="4"/>
    </row>
    <row r="185" spans="4:6" x14ac:dyDescent="0.35">
      <c r="D185" s="4"/>
      <c r="E185" s="4"/>
      <c r="F185" s="4"/>
    </row>
    <row r="186" spans="4:6" x14ac:dyDescent="0.35">
      <c r="D186" s="4"/>
      <c r="E186" s="4"/>
      <c r="F186" s="4"/>
    </row>
    <row r="187" spans="4:6" x14ac:dyDescent="0.35">
      <c r="D187" s="4"/>
      <c r="E187" s="4"/>
      <c r="F187" s="4"/>
    </row>
    <row r="188" spans="4:6" x14ac:dyDescent="0.35">
      <c r="D188" s="4"/>
      <c r="E188" s="4"/>
      <c r="F188" s="4"/>
    </row>
    <row r="189" spans="4:6" x14ac:dyDescent="0.35">
      <c r="D189" s="4"/>
      <c r="E189" s="4"/>
      <c r="F189" s="4"/>
    </row>
    <row r="190" spans="4:6" x14ac:dyDescent="0.35">
      <c r="D190" s="4"/>
      <c r="E190" s="4"/>
      <c r="F190" s="4"/>
    </row>
    <row r="191" spans="4:6" x14ac:dyDescent="0.35">
      <c r="D191" s="4"/>
      <c r="E191" s="4"/>
      <c r="F191" s="4"/>
    </row>
    <row r="192" spans="4:6" x14ac:dyDescent="0.35">
      <c r="D192" s="4"/>
      <c r="E192" s="4"/>
      <c r="F192" s="4"/>
    </row>
    <row r="193" spans="4:6" x14ac:dyDescent="0.35">
      <c r="D193" s="4"/>
      <c r="E193" s="4"/>
      <c r="F193" s="4"/>
    </row>
    <row r="194" spans="4:6" x14ac:dyDescent="0.35">
      <c r="D194" s="4"/>
      <c r="E194" s="4"/>
      <c r="F194" s="4"/>
    </row>
    <row r="195" spans="4:6" x14ac:dyDescent="0.35">
      <c r="D195" s="4"/>
      <c r="E195" s="4"/>
      <c r="F195" s="4"/>
    </row>
    <row r="196" spans="4:6" x14ac:dyDescent="0.35">
      <c r="D196" s="4"/>
      <c r="E196" s="4"/>
      <c r="F196" s="4"/>
    </row>
    <row r="197" spans="4:6" x14ac:dyDescent="0.35">
      <c r="D197" s="4"/>
      <c r="E197" s="4"/>
      <c r="F197" s="4"/>
    </row>
    <row r="198" spans="4:6" x14ac:dyDescent="0.35">
      <c r="D198" s="4"/>
      <c r="E198" s="4"/>
      <c r="F198" s="4"/>
    </row>
    <row r="199" spans="4:6" x14ac:dyDescent="0.35">
      <c r="D199" s="4"/>
      <c r="E199" s="4"/>
      <c r="F199" s="4"/>
    </row>
    <row r="200" spans="4:6" x14ac:dyDescent="0.35">
      <c r="D200" s="4"/>
      <c r="E200" s="4"/>
      <c r="F200" s="4"/>
    </row>
    <row r="201" spans="4:6" x14ac:dyDescent="0.35">
      <c r="D201" s="4"/>
      <c r="E201" s="4"/>
      <c r="F201" s="4"/>
    </row>
    <row r="202" spans="4:6" x14ac:dyDescent="0.35">
      <c r="D202" s="4"/>
      <c r="E202" s="4"/>
      <c r="F202" s="4"/>
    </row>
    <row r="203" spans="4:6" x14ac:dyDescent="0.35">
      <c r="D203" s="4"/>
      <c r="E203" s="4"/>
      <c r="F203" s="4"/>
    </row>
    <row r="204" spans="4:6" x14ac:dyDescent="0.35">
      <c r="D204" s="4"/>
      <c r="E204" s="4"/>
      <c r="F204" s="4"/>
    </row>
    <row r="205" spans="4:6" x14ac:dyDescent="0.35">
      <c r="D205" s="4"/>
      <c r="E205" s="4"/>
      <c r="F205" s="4"/>
    </row>
    <row r="206" spans="4:6" x14ac:dyDescent="0.35">
      <c r="D206" s="4"/>
      <c r="E206" s="4"/>
      <c r="F206" s="4"/>
    </row>
    <row r="207" spans="4:6" x14ac:dyDescent="0.35">
      <c r="D207" s="4"/>
      <c r="E207" s="4"/>
      <c r="F207" s="4"/>
    </row>
    <row r="208" spans="4:6" x14ac:dyDescent="0.35">
      <c r="D208" s="4"/>
      <c r="E208" s="4"/>
      <c r="F208" s="4"/>
    </row>
    <row r="209" spans="4:6" x14ac:dyDescent="0.35">
      <c r="D209" s="4"/>
      <c r="E209" s="4"/>
      <c r="F209" s="4"/>
    </row>
    <row r="210" spans="4:6" x14ac:dyDescent="0.35">
      <c r="D210" s="4"/>
      <c r="E210" s="4"/>
      <c r="F210" s="4"/>
    </row>
    <row r="211" spans="4:6" x14ac:dyDescent="0.35">
      <c r="D211" s="4"/>
      <c r="E211" s="4"/>
      <c r="F211" s="4"/>
    </row>
    <row r="212" spans="4:6" x14ac:dyDescent="0.35">
      <c r="D212" s="4"/>
      <c r="E212" s="4"/>
      <c r="F212" s="4"/>
    </row>
    <row r="213" spans="4:6" x14ac:dyDescent="0.35">
      <c r="D213" s="4"/>
      <c r="E213" s="4"/>
      <c r="F213" s="4"/>
    </row>
    <row r="214" spans="4:6" x14ac:dyDescent="0.35">
      <c r="D214" s="4"/>
      <c r="E214" s="4"/>
      <c r="F214" s="4"/>
    </row>
    <row r="215" spans="4:6" x14ac:dyDescent="0.35">
      <c r="D215" s="4"/>
      <c r="E215" s="4"/>
      <c r="F215" s="4"/>
    </row>
    <row r="216" spans="4:6" x14ac:dyDescent="0.35">
      <c r="D216" s="4"/>
      <c r="E216" s="4"/>
      <c r="F216" s="4"/>
    </row>
    <row r="217" spans="4:6" x14ac:dyDescent="0.35">
      <c r="D217" s="4"/>
      <c r="E217" s="4"/>
      <c r="F217" s="4"/>
    </row>
    <row r="218" spans="4:6" x14ac:dyDescent="0.35">
      <c r="D218" s="4"/>
      <c r="E218" s="4"/>
      <c r="F218" s="4"/>
    </row>
    <row r="219" spans="4:6" x14ac:dyDescent="0.35">
      <c r="D219" s="4"/>
      <c r="E219" s="4"/>
      <c r="F219" s="4"/>
    </row>
    <row r="220" spans="4:6" x14ac:dyDescent="0.35">
      <c r="D220" s="4"/>
      <c r="E220" s="4"/>
      <c r="F220" s="4"/>
    </row>
    <row r="221" spans="4:6" x14ac:dyDescent="0.35">
      <c r="D221" s="4"/>
      <c r="E221" s="4"/>
      <c r="F221" s="4"/>
    </row>
    <row r="222" spans="4:6" x14ac:dyDescent="0.35">
      <c r="D222" s="4"/>
      <c r="E222" s="4"/>
      <c r="F222" s="4"/>
    </row>
    <row r="223" spans="4:6" x14ac:dyDescent="0.35">
      <c r="D223" s="4"/>
      <c r="E223" s="4"/>
      <c r="F223" s="4"/>
    </row>
    <row r="224" spans="4:6" x14ac:dyDescent="0.35">
      <c r="D224" s="4"/>
      <c r="E224" s="4"/>
      <c r="F224" s="4"/>
    </row>
    <row r="225" spans="4:6" x14ac:dyDescent="0.35">
      <c r="D225" s="4"/>
      <c r="E225" s="4"/>
      <c r="F225" s="4"/>
    </row>
    <row r="226" spans="4:6" x14ac:dyDescent="0.35">
      <c r="D226" s="4"/>
      <c r="E226" s="4"/>
      <c r="F226" s="4"/>
    </row>
    <row r="227" spans="4:6" x14ac:dyDescent="0.35">
      <c r="D227" s="4"/>
      <c r="E227" s="4"/>
      <c r="F227" s="4"/>
    </row>
    <row r="228" spans="4:6" x14ac:dyDescent="0.35">
      <c r="D228" s="4"/>
      <c r="E228" s="4"/>
      <c r="F228" s="4"/>
    </row>
    <row r="229" spans="4:6" x14ac:dyDescent="0.35">
      <c r="D229" s="4"/>
      <c r="E229" s="4"/>
      <c r="F229" s="4"/>
    </row>
    <row r="230" spans="4:6" x14ac:dyDescent="0.35">
      <c r="D230" s="4"/>
      <c r="E230" s="4"/>
      <c r="F230" s="4"/>
    </row>
    <row r="231" spans="4:6" x14ac:dyDescent="0.35">
      <c r="D231" s="4"/>
      <c r="E231" s="4"/>
      <c r="F231" s="4"/>
    </row>
    <row r="232" spans="4:6" x14ac:dyDescent="0.35">
      <c r="D232" s="4"/>
      <c r="E232" s="4"/>
      <c r="F232" s="4"/>
    </row>
    <row r="233" spans="4:6" x14ac:dyDescent="0.35">
      <c r="D233" s="4"/>
      <c r="E233" s="4"/>
      <c r="F233" s="4"/>
    </row>
    <row r="234" spans="4:6" x14ac:dyDescent="0.35">
      <c r="D234" s="4"/>
      <c r="E234" s="4"/>
      <c r="F234" s="4"/>
    </row>
    <row r="235" spans="4:6" x14ac:dyDescent="0.35">
      <c r="D235" s="4"/>
      <c r="E235" s="4"/>
      <c r="F235" s="4"/>
    </row>
    <row r="236" spans="4:6" x14ac:dyDescent="0.35">
      <c r="D236" s="4"/>
      <c r="E236" s="4"/>
      <c r="F236" s="4"/>
    </row>
    <row r="237" spans="4:6" x14ac:dyDescent="0.35">
      <c r="D237" s="4"/>
      <c r="E237" s="4"/>
      <c r="F237" s="4"/>
    </row>
    <row r="238" spans="4:6" x14ac:dyDescent="0.35">
      <c r="D238" s="4"/>
      <c r="E238" s="4"/>
      <c r="F238" s="4"/>
    </row>
    <row r="239" spans="4:6" x14ac:dyDescent="0.35">
      <c r="D239" s="4"/>
      <c r="E239" s="4"/>
      <c r="F239" s="4"/>
    </row>
    <row r="240" spans="4:6" x14ac:dyDescent="0.35">
      <c r="D240" s="4"/>
      <c r="E240" s="4"/>
      <c r="F240" s="4"/>
    </row>
    <row r="241" spans="4:6" x14ac:dyDescent="0.35">
      <c r="D241" s="4"/>
      <c r="E241" s="4"/>
      <c r="F241" s="4"/>
    </row>
    <row r="242" spans="4:6" x14ac:dyDescent="0.35">
      <c r="D242" s="4"/>
      <c r="E242" s="4"/>
      <c r="F242" s="4"/>
    </row>
    <row r="243" spans="4:6" x14ac:dyDescent="0.35">
      <c r="D243" s="4"/>
      <c r="E243" s="4"/>
      <c r="F243" s="4"/>
    </row>
    <row r="244" spans="4:6" x14ac:dyDescent="0.35">
      <c r="D244" s="4"/>
      <c r="E244" s="4"/>
      <c r="F244" s="4"/>
    </row>
    <row r="245" spans="4:6" x14ac:dyDescent="0.35">
      <c r="D245" s="4"/>
      <c r="E245" s="4"/>
      <c r="F245" s="4"/>
    </row>
    <row r="246" spans="4:6" x14ac:dyDescent="0.35">
      <c r="D246" s="4"/>
      <c r="E246" s="4"/>
      <c r="F246" s="4"/>
    </row>
    <row r="247" spans="4:6" x14ac:dyDescent="0.35">
      <c r="D247" s="4"/>
      <c r="E247" s="4"/>
      <c r="F247" s="4"/>
    </row>
    <row r="248" spans="4:6" x14ac:dyDescent="0.35">
      <c r="D248" s="4"/>
      <c r="E248" s="4"/>
      <c r="F248" s="4"/>
    </row>
    <row r="249" spans="4:6" x14ac:dyDescent="0.35">
      <c r="D249" s="4"/>
      <c r="E249" s="4"/>
      <c r="F249" s="4"/>
    </row>
    <row r="250" spans="4:6" x14ac:dyDescent="0.35">
      <c r="D250" s="4"/>
      <c r="E250" s="4"/>
      <c r="F250" s="4"/>
    </row>
    <row r="251" spans="4:6" x14ac:dyDescent="0.35">
      <c r="D251" s="4"/>
      <c r="E251" s="4"/>
      <c r="F251" s="4"/>
    </row>
    <row r="252" spans="4:6" x14ac:dyDescent="0.35">
      <c r="D252" s="4"/>
      <c r="E252" s="4"/>
      <c r="F252" s="4"/>
    </row>
    <row r="253" spans="4:6" x14ac:dyDescent="0.35">
      <c r="D253" s="4"/>
      <c r="E253" s="4"/>
      <c r="F253" s="4"/>
    </row>
    <row r="254" spans="4:6" x14ac:dyDescent="0.35">
      <c r="D254" s="4"/>
      <c r="E254" s="4"/>
      <c r="F254" s="4"/>
    </row>
    <row r="255" spans="4:6" x14ac:dyDescent="0.35">
      <c r="D255" s="4"/>
      <c r="E255" s="4"/>
      <c r="F255" s="4"/>
    </row>
    <row r="256" spans="4:6" x14ac:dyDescent="0.35">
      <c r="D256" s="4"/>
      <c r="E256" s="4"/>
      <c r="F256" s="4"/>
    </row>
    <row r="257" spans="4:6" x14ac:dyDescent="0.35">
      <c r="D257" s="4"/>
      <c r="E257" s="4"/>
      <c r="F257" s="4"/>
    </row>
    <row r="258" spans="4:6" x14ac:dyDescent="0.35">
      <c r="D258" s="4"/>
      <c r="E258" s="4"/>
      <c r="F258" s="4"/>
    </row>
    <row r="259" spans="4:6" x14ac:dyDescent="0.35">
      <c r="D259" s="4"/>
      <c r="E259" s="4"/>
      <c r="F259" s="4"/>
    </row>
    <row r="260" spans="4:6" x14ac:dyDescent="0.35">
      <c r="D260" s="4"/>
      <c r="E260" s="4"/>
      <c r="F260" s="4"/>
    </row>
    <row r="261" spans="4:6" x14ac:dyDescent="0.35">
      <c r="D261" s="4"/>
      <c r="E261" s="4"/>
      <c r="F261" s="4"/>
    </row>
    <row r="262" spans="4:6" x14ac:dyDescent="0.35">
      <c r="D262" s="4"/>
      <c r="E262" s="4"/>
      <c r="F262" s="4"/>
    </row>
    <row r="263" spans="4:6" x14ac:dyDescent="0.35">
      <c r="D263" s="4"/>
      <c r="E263" s="4"/>
      <c r="F263" s="4"/>
    </row>
    <row r="264" spans="4:6" x14ac:dyDescent="0.35">
      <c r="D264" s="4"/>
      <c r="E264" s="4"/>
      <c r="F264" s="4"/>
    </row>
    <row r="265" spans="4:6" x14ac:dyDescent="0.35">
      <c r="D265" s="4"/>
      <c r="E265" s="4"/>
      <c r="F265" s="4"/>
    </row>
    <row r="266" spans="4:6" x14ac:dyDescent="0.35">
      <c r="D266" s="4"/>
      <c r="E266" s="4"/>
      <c r="F266" s="4"/>
    </row>
    <row r="267" spans="4:6" x14ac:dyDescent="0.35">
      <c r="D267" s="4"/>
      <c r="E267" s="4"/>
      <c r="F267" s="4"/>
    </row>
    <row r="268" spans="4:6" x14ac:dyDescent="0.35">
      <c r="D268" s="4"/>
      <c r="E268" s="4"/>
      <c r="F268" s="4"/>
    </row>
    <row r="269" spans="4:6" x14ac:dyDescent="0.35">
      <c r="D269" s="4"/>
      <c r="E269" s="4"/>
      <c r="F269" s="4"/>
    </row>
    <row r="270" spans="4:6" x14ac:dyDescent="0.35">
      <c r="D270" s="4"/>
      <c r="E270" s="4"/>
      <c r="F270" s="4"/>
    </row>
    <row r="271" spans="4:6" x14ac:dyDescent="0.35">
      <c r="D271" s="4"/>
      <c r="E271" s="4"/>
      <c r="F271" s="4"/>
    </row>
    <row r="272" spans="4:6" x14ac:dyDescent="0.35">
      <c r="D272" s="4"/>
      <c r="E272" s="4"/>
      <c r="F272" s="4"/>
    </row>
    <row r="273" spans="4:6" x14ac:dyDescent="0.35">
      <c r="D273" s="4"/>
      <c r="E273" s="4"/>
      <c r="F273" s="4"/>
    </row>
    <row r="274" spans="4:6" x14ac:dyDescent="0.35">
      <c r="D274" s="4"/>
      <c r="E274" s="4"/>
      <c r="F274" s="4"/>
    </row>
    <row r="275" spans="4:6" x14ac:dyDescent="0.35">
      <c r="D275" s="4"/>
      <c r="E275" s="4"/>
      <c r="F275" s="4"/>
    </row>
    <row r="276" spans="4:6" x14ac:dyDescent="0.35">
      <c r="D276" s="4"/>
      <c r="E276" s="4"/>
      <c r="F276" s="4"/>
    </row>
    <row r="277" spans="4:6" x14ac:dyDescent="0.35">
      <c r="D277" s="4"/>
      <c r="E277" s="4"/>
      <c r="F277" s="4"/>
    </row>
    <row r="278" spans="4:6" x14ac:dyDescent="0.35">
      <c r="D278" s="4"/>
      <c r="E278" s="4"/>
      <c r="F278" s="4"/>
    </row>
    <row r="279" spans="4:6" x14ac:dyDescent="0.35">
      <c r="D279" s="4"/>
      <c r="E279" s="4"/>
      <c r="F279" s="4"/>
    </row>
    <row r="280" spans="4:6" x14ac:dyDescent="0.35">
      <c r="D280" s="4"/>
      <c r="E280" s="4"/>
      <c r="F280" s="4"/>
    </row>
    <row r="281" spans="4:6" x14ac:dyDescent="0.35">
      <c r="D281" s="4"/>
      <c r="E281" s="4"/>
      <c r="F281" s="4"/>
    </row>
    <row r="282" spans="4:6" x14ac:dyDescent="0.35">
      <c r="D282" s="4"/>
      <c r="E282" s="4"/>
      <c r="F282" s="4"/>
    </row>
    <row r="283" spans="4:6" x14ac:dyDescent="0.35">
      <c r="D283" s="4"/>
      <c r="E283" s="4"/>
      <c r="F283" s="4"/>
    </row>
    <row r="284" spans="4:6" x14ac:dyDescent="0.35">
      <c r="D284" s="4"/>
      <c r="E284" s="4"/>
      <c r="F284" s="4"/>
    </row>
    <row r="285" spans="4:6" x14ac:dyDescent="0.35">
      <c r="D285" s="4"/>
      <c r="E285" s="4"/>
      <c r="F285" s="4"/>
    </row>
    <row r="286" spans="4:6" x14ac:dyDescent="0.35">
      <c r="D286" s="4"/>
      <c r="E286" s="4"/>
      <c r="F286" s="4"/>
    </row>
    <row r="287" spans="4:6" x14ac:dyDescent="0.35">
      <c r="D287" s="4"/>
      <c r="E287" s="4"/>
      <c r="F287" s="4"/>
    </row>
    <row r="288" spans="4:6" x14ac:dyDescent="0.35">
      <c r="D288" s="4"/>
      <c r="E288" s="4"/>
      <c r="F288" s="4"/>
    </row>
    <row r="289" spans="4:6" x14ac:dyDescent="0.35">
      <c r="D289" s="4"/>
      <c r="E289" s="4"/>
      <c r="F289" s="4"/>
    </row>
    <row r="290" spans="4:6" x14ac:dyDescent="0.35">
      <c r="D290" s="4"/>
      <c r="E290" s="4"/>
      <c r="F290" s="4"/>
    </row>
    <row r="291" spans="4:6" x14ac:dyDescent="0.35">
      <c r="D291" s="4"/>
      <c r="E291" s="4"/>
      <c r="F291" s="4"/>
    </row>
    <row r="292" spans="4:6" x14ac:dyDescent="0.35">
      <c r="D292" s="4"/>
      <c r="E292" s="4"/>
      <c r="F292" s="4"/>
    </row>
    <row r="293" spans="4:6" x14ac:dyDescent="0.35">
      <c r="D293" s="4"/>
      <c r="E293" s="4"/>
      <c r="F293" s="4"/>
    </row>
    <row r="294" spans="4:6" x14ac:dyDescent="0.35">
      <c r="D294" s="4"/>
      <c r="E294" s="4"/>
      <c r="F294" s="4"/>
    </row>
    <row r="295" spans="4:6" x14ac:dyDescent="0.35">
      <c r="D295" s="4"/>
      <c r="E295" s="4"/>
      <c r="F295" s="4"/>
    </row>
    <row r="296" spans="4:6" x14ac:dyDescent="0.35">
      <c r="D296" s="4"/>
      <c r="E296" s="4"/>
      <c r="F296" s="4"/>
    </row>
    <row r="297" spans="4:6" x14ac:dyDescent="0.35">
      <c r="D297" s="4"/>
      <c r="E297" s="4"/>
      <c r="F297" s="4"/>
    </row>
    <row r="298" spans="4:6" x14ac:dyDescent="0.35">
      <c r="D298" s="4"/>
      <c r="E298" s="4"/>
      <c r="F298" s="4"/>
    </row>
    <row r="299" spans="4:6" x14ac:dyDescent="0.35">
      <c r="D299" s="4"/>
      <c r="E299" s="4"/>
      <c r="F299" s="4"/>
    </row>
    <row r="300" spans="4:6" x14ac:dyDescent="0.35">
      <c r="D300" s="4"/>
      <c r="E300" s="4"/>
      <c r="F300" s="4"/>
    </row>
    <row r="301" spans="4:6" x14ac:dyDescent="0.35">
      <c r="D301" s="4"/>
      <c r="E301" s="4"/>
      <c r="F301" s="4"/>
    </row>
    <row r="302" spans="4:6" x14ac:dyDescent="0.35">
      <c r="D302" s="4"/>
      <c r="E302" s="4"/>
      <c r="F302" s="4"/>
    </row>
    <row r="303" spans="4:6" x14ac:dyDescent="0.35">
      <c r="D303" s="4"/>
      <c r="E303" s="4"/>
      <c r="F303" s="4"/>
    </row>
    <row r="304" spans="4:6" x14ac:dyDescent="0.35">
      <c r="D304" s="4"/>
      <c r="E304" s="4"/>
      <c r="F304" s="4"/>
    </row>
    <row r="305" spans="4:6" x14ac:dyDescent="0.35">
      <c r="D305" s="4"/>
      <c r="E305" s="4"/>
      <c r="F305" s="4"/>
    </row>
    <row r="306" spans="4:6" x14ac:dyDescent="0.35">
      <c r="D306" s="4"/>
      <c r="E306" s="4"/>
      <c r="F306" s="4"/>
    </row>
    <row r="307" spans="4:6" x14ac:dyDescent="0.35">
      <c r="D307" s="4"/>
      <c r="E307" s="4"/>
      <c r="F307" s="4"/>
    </row>
    <row r="308" spans="4:6" x14ac:dyDescent="0.35">
      <c r="D308" s="4"/>
      <c r="E308" s="4"/>
      <c r="F308" s="4"/>
    </row>
    <row r="309" spans="4:6" x14ac:dyDescent="0.35">
      <c r="D309" s="4"/>
      <c r="E309" s="4"/>
      <c r="F309" s="4"/>
    </row>
    <row r="310" spans="4:6" x14ac:dyDescent="0.35">
      <c r="D310" s="4"/>
      <c r="E310" s="4"/>
      <c r="F310" s="4"/>
    </row>
    <row r="311" spans="4:6" x14ac:dyDescent="0.35">
      <c r="D311" s="4"/>
      <c r="E311" s="4"/>
      <c r="F311" s="4"/>
    </row>
    <row r="312" spans="4:6" x14ac:dyDescent="0.35">
      <c r="D312" s="4"/>
      <c r="E312" s="4"/>
      <c r="F312" s="4"/>
    </row>
    <row r="313" spans="4:6" x14ac:dyDescent="0.35">
      <c r="D313" s="4"/>
      <c r="E313" s="4"/>
      <c r="F313" s="4"/>
    </row>
    <row r="314" spans="4:6" x14ac:dyDescent="0.35">
      <c r="D314" s="4"/>
      <c r="E314" s="4"/>
      <c r="F314" s="4"/>
    </row>
    <row r="315" spans="4:6" x14ac:dyDescent="0.35">
      <c r="D315" s="4"/>
      <c r="E315" s="4"/>
      <c r="F315" s="4"/>
    </row>
    <row r="316" spans="4:6" x14ac:dyDescent="0.35">
      <c r="D316" s="4"/>
      <c r="E316" s="4"/>
      <c r="F316" s="4"/>
    </row>
    <row r="317" spans="4:6" x14ac:dyDescent="0.35">
      <c r="D317" s="4"/>
      <c r="E317" s="4"/>
      <c r="F317" s="4"/>
    </row>
    <row r="318" spans="4:6" x14ac:dyDescent="0.35">
      <c r="D318" s="4"/>
      <c r="E318" s="4"/>
      <c r="F318" s="4"/>
    </row>
    <row r="319" spans="4:6" x14ac:dyDescent="0.35">
      <c r="D319" s="4"/>
      <c r="E319" s="4"/>
      <c r="F319" s="4"/>
    </row>
    <row r="320" spans="4:6" x14ac:dyDescent="0.35">
      <c r="D320" s="4"/>
      <c r="E320" s="4"/>
      <c r="F320" s="4"/>
    </row>
    <row r="321" spans="4:6" x14ac:dyDescent="0.35">
      <c r="D321" s="4"/>
      <c r="E321" s="4"/>
      <c r="F321" s="4"/>
    </row>
    <row r="322" spans="4:6" x14ac:dyDescent="0.35">
      <c r="D322" s="4"/>
      <c r="E322" s="4"/>
      <c r="F322" s="4"/>
    </row>
    <row r="323" spans="4:6" x14ac:dyDescent="0.35">
      <c r="D323" s="4"/>
      <c r="E323" s="4"/>
      <c r="F323" s="4"/>
    </row>
    <row r="324" spans="4:6" x14ac:dyDescent="0.35">
      <c r="D324" s="4"/>
      <c r="E324" s="4"/>
      <c r="F324" s="4"/>
    </row>
    <row r="325" spans="4:6" x14ac:dyDescent="0.35">
      <c r="D325" s="4"/>
      <c r="E325" s="4"/>
      <c r="F325" s="4"/>
    </row>
    <row r="326" spans="4:6" x14ac:dyDescent="0.35">
      <c r="D326" s="4"/>
      <c r="E326" s="4"/>
      <c r="F326" s="4"/>
    </row>
    <row r="327" spans="4:6" x14ac:dyDescent="0.35">
      <c r="D327" s="4"/>
      <c r="E327" s="4"/>
      <c r="F327" s="4"/>
    </row>
    <row r="328" spans="4:6" x14ac:dyDescent="0.35">
      <c r="D328" s="4"/>
      <c r="E328" s="4"/>
      <c r="F328" s="4"/>
    </row>
    <row r="329" spans="4:6" x14ac:dyDescent="0.35">
      <c r="D329" s="4"/>
      <c r="E329" s="4"/>
      <c r="F329" s="4"/>
    </row>
    <row r="330" spans="4:6" x14ac:dyDescent="0.35">
      <c r="D330" s="4"/>
      <c r="E330" s="4"/>
      <c r="F330" s="4"/>
    </row>
    <row r="331" spans="4:6" x14ac:dyDescent="0.35">
      <c r="D331" s="4"/>
      <c r="E331" s="4"/>
      <c r="F331" s="4"/>
    </row>
    <row r="332" spans="4:6" x14ac:dyDescent="0.35">
      <c r="D332" s="4"/>
      <c r="E332" s="4"/>
      <c r="F332" s="4"/>
    </row>
    <row r="333" spans="4:6" x14ac:dyDescent="0.35">
      <c r="D333" s="4"/>
      <c r="E333" s="4"/>
      <c r="F333" s="4"/>
    </row>
    <row r="334" spans="4:6" x14ac:dyDescent="0.35">
      <c r="D334" s="4"/>
      <c r="E334" s="4"/>
      <c r="F334" s="4"/>
    </row>
    <row r="335" spans="4:6" x14ac:dyDescent="0.35">
      <c r="D335" s="4"/>
      <c r="E335" s="4"/>
      <c r="F335" s="4"/>
    </row>
    <row r="336" spans="4:6" x14ac:dyDescent="0.35">
      <c r="D336" s="4"/>
      <c r="E336" s="4"/>
      <c r="F336" s="4"/>
    </row>
    <row r="337" spans="4:6" x14ac:dyDescent="0.35">
      <c r="D337" s="4"/>
      <c r="E337" s="4"/>
      <c r="F337" s="4"/>
    </row>
    <row r="338" spans="4:6" x14ac:dyDescent="0.35">
      <c r="D338" s="4"/>
      <c r="E338" s="4"/>
      <c r="F338" s="4"/>
    </row>
    <row r="339" spans="4:6" x14ac:dyDescent="0.35">
      <c r="D339" s="4"/>
      <c r="E339" s="4"/>
      <c r="F339" s="4"/>
    </row>
    <row r="340" spans="4:6" x14ac:dyDescent="0.35">
      <c r="D340" s="4"/>
      <c r="E340" s="4"/>
      <c r="F340" s="4"/>
    </row>
    <row r="341" spans="4:6" x14ac:dyDescent="0.35">
      <c r="D341" s="4"/>
      <c r="E341" s="4"/>
      <c r="F341" s="4"/>
    </row>
    <row r="342" spans="4:6" x14ac:dyDescent="0.35">
      <c r="D342" s="4"/>
      <c r="E342" s="4"/>
      <c r="F342" s="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2B664-091B-4C45-BFD6-FE8097BBBEAD}">
  <dimension ref="A1:O19"/>
  <sheetViews>
    <sheetView zoomScale="140" workbookViewId="0">
      <selection activeCell="H13" sqref="H13"/>
    </sheetView>
  </sheetViews>
  <sheetFormatPr defaultRowHeight="14.5" x14ac:dyDescent="0.35"/>
  <cols>
    <col min="1" max="1" width="12" style="7" bestFit="1" customWidth="1"/>
    <col min="2" max="2" width="12" style="2" customWidth="1"/>
  </cols>
  <sheetData>
    <row r="1" spans="1:15" s="5" customFormat="1" x14ac:dyDescent="0.35">
      <c r="A1" s="7" t="s">
        <v>11</v>
      </c>
      <c r="B1" s="5">
        <v>0.5</v>
      </c>
      <c r="C1" s="6">
        <v>1</v>
      </c>
      <c r="D1" s="5">
        <v>1.5</v>
      </c>
      <c r="E1" s="5">
        <v>2</v>
      </c>
      <c r="F1" s="5">
        <v>2.5</v>
      </c>
      <c r="G1" s="5">
        <v>3</v>
      </c>
      <c r="H1" s="5">
        <v>3.5</v>
      </c>
      <c r="I1" s="5">
        <v>4</v>
      </c>
      <c r="J1" s="5">
        <v>4.5</v>
      </c>
      <c r="K1" s="5">
        <v>5</v>
      </c>
      <c r="L1" s="5">
        <v>5.5</v>
      </c>
      <c r="M1" s="5">
        <v>6</v>
      </c>
      <c r="N1" s="5">
        <v>6.5</v>
      </c>
      <c r="O1" s="5">
        <v>7</v>
      </c>
    </row>
    <row r="2" spans="1:15" x14ac:dyDescent="0.35">
      <c r="A2" s="7">
        <v>1</v>
      </c>
      <c r="B2" s="1"/>
      <c r="C2">
        <v>0</v>
      </c>
      <c r="D2">
        <v>0.5</v>
      </c>
      <c r="F2" t="s">
        <v>12</v>
      </c>
      <c r="G2">
        <v>1</v>
      </c>
      <c r="H2">
        <v>1</v>
      </c>
      <c r="K2">
        <v>2.5</v>
      </c>
      <c r="M2">
        <v>2.5</v>
      </c>
      <c r="O2">
        <v>3</v>
      </c>
    </row>
    <row r="3" spans="1:15" x14ac:dyDescent="0.35">
      <c r="A3" s="7">
        <v>2</v>
      </c>
      <c r="D3">
        <v>1</v>
      </c>
      <c r="E3">
        <v>2</v>
      </c>
      <c r="F3">
        <v>2.5</v>
      </c>
      <c r="G3">
        <v>3</v>
      </c>
      <c r="H3">
        <v>3.5</v>
      </c>
      <c r="I3">
        <v>4</v>
      </c>
    </row>
    <row r="4" spans="1:15" x14ac:dyDescent="0.35">
      <c r="A4" s="7">
        <v>3</v>
      </c>
      <c r="E4">
        <v>0</v>
      </c>
      <c r="F4">
        <v>0</v>
      </c>
      <c r="H4">
        <v>0.2</v>
      </c>
      <c r="J4">
        <v>0.8</v>
      </c>
    </row>
    <row r="5" spans="1:15" x14ac:dyDescent="0.35">
      <c r="A5" s="7">
        <v>4</v>
      </c>
      <c r="B5" s="2">
        <v>2</v>
      </c>
      <c r="C5">
        <v>3</v>
      </c>
      <c r="D5">
        <v>3</v>
      </c>
      <c r="E5">
        <v>5</v>
      </c>
    </row>
    <row r="6" spans="1:15" x14ac:dyDescent="0.35">
      <c r="A6" s="7">
        <v>5</v>
      </c>
      <c r="C6">
        <v>2</v>
      </c>
      <c r="D6">
        <v>2</v>
      </c>
      <c r="E6">
        <v>3</v>
      </c>
      <c r="F6">
        <v>4</v>
      </c>
      <c r="G6">
        <v>4</v>
      </c>
    </row>
    <row r="7" spans="1:15" x14ac:dyDescent="0.35">
      <c r="A7" s="7">
        <v>6</v>
      </c>
      <c r="C7">
        <v>2</v>
      </c>
      <c r="D7">
        <v>3</v>
      </c>
      <c r="E7">
        <v>5</v>
      </c>
      <c r="F7" t="s">
        <v>13</v>
      </c>
    </row>
    <row r="8" spans="1:15" x14ac:dyDescent="0.35">
      <c r="A8" s="7">
        <v>7</v>
      </c>
      <c r="C8">
        <v>1</v>
      </c>
      <c r="D8">
        <v>1.5</v>
      </c>
      <c r="E8">
        <v>2.7</v>
      </c>
      <c r="F8">
        <v>3.8</v>
      </c>
      <c r="G8">
        <v>5</v>
      </c>
    </row>
    <row r="9" spans="1:15" x14ac:dyDescent="0.35">
      <c r="A9" s="7">
        <v>8</v>
      </c>
      <c r="C9">
        <v>0</v>
      </c>
      <c r="D9">
        <v>2</v>
      </c>
      <c r="E9">
        <v>6</v>
      </c>
    </row>
    <row r="10" spans="1:15" x14ac:dyDescent="0.35">
      <c r="A10" s="7">
        <v>9</v>
      </c>
      <c r="C10">
        <v>0</v>
      </c>
      <c r="D10">
        <v>0</v>
      </c>
      <c r="E10">
        <v>0</v>
      </c>
      <c r="F10">
        <v>0.5</v>
      </c>
      <c r="G10">
        <v>0.75</v>
      </c>
      <c r="H10">
        <v>1</v>
      </c>
      <c r="I10">
        <v>1.2</v>
      </c>
    </row>
    <row r="11" spans="1:15" x14ac:dyDescent="0.35">
      <c r="A11" s="7">
        <v>10</v>
      </c>
      <c r="C11">
        <v>0.1</v>
      </c>
      <c r="D11">
        <v>1</v>
      </c>
      <c r="E11">
        <v>1.5</v>
      </c>
    </row>
    <row r="12" spans="1:15" x14ac:dyDescent="0.35">
      <c r="A12" s="7">
        <v>11</v>
      </c>
      <c r="D12">
        <v>0</v>
      </c>
      <c r="E12">
        <v>0.5</v>
      </c>
      <c r="F12">
        <v>0.5</v>
      </c>
      <c r="G12">
        <v>0.5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</row>
    <row r="13" spans="1:15" x14ac:dyDescent="0.35">
      <c r="A13" s="7">
        <v>12</v>
      </c>
      <c r="C13">
        <v>0</v>
      </c>
      <c r="D13">
        <v>0</v>
      </c>
      <c r="E13">
        <v>1</v>
      </c>
      <c r="F13">
        <v>2</v>
      </c>
      <c r="G13">
        <v>3</v>
      </c>
    </row>
    <row r="14" spans="1:15" x14ac:dyDescent="0.35">
      <c r="A14" s="7">
        <v>13</v>
      </c>
      <c r="C14">
        <v>0</v>
      </c>
      <c r="D14">
        <v>0.1</v>
      </c>
      <c r="E14">
        <v>2</v>
      </c>
      <c r="F14">
        <v>2.2000000000000002</v>
      </c>
      <c r="G14">
        <v>3</v>
      </c>
      <c r="H14">
        <v>4.2</v>
      </c>
      <c r="I14">
        <v>4.3</v>
      </c>
      <c r="J14">
        <v>4.5</v>
      </c>
    </row>
    <row r="15" spans="1:15" x14ac:dyDescent="0.35">
      <c r="A15" s="7">
        <v>14</v>
      </c>
      <c r="C15">
        <v>0.5</v>
      </c>
      <c r="D15">
        <v>0.5</v>
      </c>
      <c r="E15">
        <v>0.5</v>
      </c>
      <c r="F15">
        <v>0.6</v>
      </c>
      <c r="G15">
        <v>0.8</v>
      </c>
      <c r="H15">
        <v>0.8</v>
      </c>
      <c r="I15">
        <v>1</v>
      </c>
      <c r="J15">
        <v>1</v>
      </c>
      <c r="K15">
        <v>1.3</v>
      </c>
    </row>
    <row r="16" spans="1:15" x14ac:dyDescent="0.35">
      <c r="A16" s="7">
        <v>15</v>
      </c>
      <c r="C16">
        <v>0</v>
      </c>
      <c r="D16">
        <v>0.3</v>
      </c>
      <c r="E16">
        <v>0.5</v>
      </c>
      <c r="F16">
        <v>0.8</v>
      </c>
      <c r="G16">
        <v>1</v>
      </c>
      <c r="H16">
        <v>1</v>
      </c>
      <c r="I16">
        <v>1.3</v>
      </c>
    </row>
    <row r="17" spans="1:8" x14ac:dyDescent="0.35">
      <c r="A17" s="7">
        <v>16</v>
      </c>
      <c r="C17">
        <v>1</v>
      </c>
      <c r="D17">
        <v>1.2</v>
      </c>
      <c r="E17">
        <v>1.5</v>
      </c>
      <c r="F17">
        <v>2.5</v>
      </c>
      <c r="G17">
        <v>2.5</v>
      </c>
      <c r="H17">
        <v>4</v>
      </c>
    </row>
    <row r="18" spans="1:8" x14ac:dyDescent="0.35">
      <c r="A18" s="7">
        <v>17</v>
      </c>
      <c r="C18">
        <v>1.5</v>
      </c>
      <c r="D18">
        <v>4</v>
      </c>
    </row>
    <row r="19" spans="1:8" x14ac:dyDescent="0.35">
      <c r="A19" s="7">
        <v>18</v>
      </c>
      <c r="C19">
        <v>2</v>
      </c>
      <c r="D19">
        <v>3.5</v>
      </c>
      <c r="E19">
        <v>2.5</v>
      </c>
      <c r="F19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1D63E1EBBCBC44E92D02F9282D2F4AD" ma:contentTypeVersion="7" ma:contentTypeDescription="Opret et nyt dokument." ma:contentTypeScope="" ma:versionID="36b671a6b9fce2b1dcd5c5bd0315b4c0">
  <xsd:schema xmlns:xsd="http://www.w3.org/2001/XMLSchema" xmlns:xs="http://www.w3.org/2001/XMLSchema" xmlns:p="http://schemas.microsoft.com/office/2006/metadata/properties" xmlns:ns2="458ac463-e297-46bf-878d-ff811c52e420" targetNamespace="http://schemas.microsoft.com/office/2006/metadata/properties" ma:root="true" ma:fieldsID="4c7c75026f0e1c4070145c872dc7b15a" ns2:_="">
    <xsd:import namespace="458ac463-e297-46bf-878d-ff811c52e4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8ac463-e297-46bf-878d-ff811c52e4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4DC495B-F368-4AC4-941C-3E7C54E0CDC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6B9481C-8E97-4695-89A5-ABE1E082788C}">
  <ds:schemaRefs>
    <ds:schemaRef ds:uri="http://schemas.microsoft.com/office/2006/documentManagement/types"/>
    <ds:schemaRef ds:uri="http://purl.org/dc/elements/1.1/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458ac463-e297-46bf-878d-ff811c52e420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89900AF-9986-4319-A35A-34BCC955E3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8ac463-e297-46bf-878d-ff811c52e4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VAS</vt:lpstr>
      <vt:lpstr>Presence</vt:lpstr>
      <vt:lpstr>Pain+Presence</vt:lpstr>
      <vt:lpstr>Calibrate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Frida Helledie</cp:lastModifiedBy>
  <cp:revision/>
  <dcterms:created xsi:type="dcterms:W3CDTF">2026-04-30T07:00:37Z</dcterms:created>
  <dcterms:modified xsi:type="dcterms:W3CDTF">2026-05-07T13:01:20Z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0x01010011D63E1EBBCBC44E92D02F9282D2F4AD</vt:lpwstr>
  </property>
</Properties>
</file>