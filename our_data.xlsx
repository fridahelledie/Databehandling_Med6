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eter\Documents\GitHub\Databehandling_Med6\"/>
    </mc:Choice>
  </mc:AlternateContent>
  <xr:revisionPtr revIDLastSave="0" documentId="13_ncr:1_{AB14035E-4425-43EF-ACA0-EA4E6EBF1DA4}" xr6:coauthVersionLast="47" xr6:coauthVersionMax="47" xr10:uidLastSave="{00000000-0000-0000-0000-000000000000}"/>
  <bookViews>
    <workbookView xWindow="1665" yWindow="1965" windowWidth="28800" windowHeight="15345" tabRatio="500" firstSheet="1" activeTab="6" xr2:uid="{00000000-000D-0000-FFFF-FFFF00000000}"/>
  </bookViews>
  <sheets>
    <sheet name="VAS" sheetId="1" r:id="rId1"/>
    <sheet name="Presence" sheetId="2" r:id="rId2"/>
    <sheet name="Pain+Presence" sheetId="3" r:id="rId3"/>
    <sheet name="Calibrate" sheetId="4" r:id="rId4"/>
    <sheet name="Pain+Vibration" sheetId="5" r:id="rId5"/>
    <sheet name="Performance+Presence" sheetId="6" r:id="rId6"/>
    <sheet name="GhostDirection+Pain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73" i="3" l="1"/>
  <c r="F72" i="3"/>
  <c r="F71" i="3"/>
  <c r="F70" i="3"/>
  <c r="F69" i="3"/>
  <c r="F68" i="3"/>
  <c r="F67" i="3"/>
  <c r="F66" i="3"/>
  <c r="F65" i="3"/>
  <c r="F64" i="3"/>
  <c r="F63" i="3"/>
  <c r="F62" i="3"/>
  <c r="F61" i="3"/>
  <c r="F60" i="3"/>
  <c r="F59" i="3"/>
  <c r="F58" i="3"/>
  <c r="F57" i="3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F2" i="3"/>
  <c r="H73" i="1"/>
  <c r="G73" i="1"/>
  <c r="H72" i="1"/>
  <c r="G72" i="1"/>
  <c r="H71" i="1"/>
  <c r="G71" i="1"/>
  <c r="J70" i="1"/>
  <c r="I70" i="1"/>
  <c r="K70" i="1" s="1"/>
  <c r="H70" i="1"/>
  <c r="G70" i="1"/>
  <c r="H69" i="1"/>
  <c r="G69" i="1"/>
  <c r="G68" i="1"/>
  <c r="H68" i="1" s="1"/>
  <c r="G67" i="1"/>
  <c r="H67" i="1" s="1"/>
  <c r="J66" i="1"/>
  <c r="I66" i="1"/>
  <c r="K69" i="1" s="1"/>
  <c r="H66" i="1"/>
  <c r="G66" i="1"/>
  <c r="G65" i="1"/>
  <c r="H65" i="1" s="1"/>
  <c r="H64" i="1"/>
  <c r="G64" i="1"/>
  <c r="H63" i="1"/>
  <c r="G63" i="1"/>
  <c r="J62" i="1"/>
  <c r="I62" i="1"/>
  <c r="K65" i="1" s="1"/>
  <c r="H62" i="1"/>
  <c r="G62" i="1"/>
  <c r="H61" i="1"/>
  <c r="G61" i="1"/>
  <c r="G60" i="1"/>
  <c r="H60" i="1" s="1"/>
  <c r="G59" i="1"/>
  <c r="H59" i="1" s="1"/>
  <c r="J58" i="1"/>
  <c r="K61" i="1" s="1"/>
  <c r="I58" i="1"/>
  <c r="K60" i="1" s="1"/>
  <c r="H58" i="1"/>
  <c r="G58" i="1"/>
  <c r="G57" i="1"/>
  <c r="H57" i="1" s="1"/>
  <c r="G56" i="1"/>
  <c r="H56" i="1" s="1"/>
  <c r="H55" i="1"/>
  <c r="G55" i="1"/>
  <c r="J54" i="1"/>
  <c r="K57" i="1" s="1"/>
  <c r="I54" i="1"/>
  <c r="K56" i="1" s="1"/>
  <c r="H54" i="1"/>
  <c r="G54" i="1"/>
  <c r="G53" i="1"/>
  <c r="H53" i="1" s="1"/>
  <c r="H52" i="1"/>
  <c r="G52" i="1"/>
  <c r="G51" i="1"/>
  <c r="H51" i="1" s="1"/>
  <c r="J50" i="1"/>
  <c r="K53" i="1" s="1"/>
  <c r="I50" i="1"/>
  <c r="K52" i="1" s="1"/>
  <c r="H50" i="1"/>
  <c r="G50" i="1"/>
  <c r="G49" i="1"/>
  <c r="H49" i="1" s="1"/>
  <c r="H48" i="1"/>
  <c r="G48" i="1"/>
  <c r="H47" i="1"/>
  <c r="G47" i="1"/>
  <c r="J46" i="1"/>
  <c r="K47" i="1" s="1"/>
  <c r="I46" i="1"/>
  <c r="K46" i="1" s="1"/>
  <c r="H46" i="1"/>
  <c r="G46" i="1"/>
  <c r="K45" i="1"/>
  <c r="G45" i="1"/>
  <c r="H45" i="1" s="1"/>
  <c r="K44" i="1"/>
  <c r="H44" i="1"/>
  <c r="G44" i="1"/>
  <c r="K43" i="1"/>
  <c r="G43" i="1"/>
  <c r="H43" i="1" s="1"/>
  <c r="J42" i="1"/>
  <c r="K42" i="1" s="1"/>
  <c r="I42" i="1"/>
  <c r="H42" i="1"/>
  <c r="G42" i="1"/>
  <c r="G41" i="1"/>
  <c r="H41" i="1" s="1"/>
  <c r="H40" i="1"/>
  <c r="G40" i="1"/>
  <c r="G39" i="1"/>
  <c r="H39" i="1" s="1"/>
  <c r="J38" i="1"/>
  <c r="K38" i="1" s="1"/>
  <c r="I38" i="1"/>
  <c r="H38" i="1"/>
  <c r="G38" i="1"/>
  <c r="G37" i="1"/>
  <c r="H37" i="1" s="1"/>
  <c r="H36" i="1"/>
  <c r="G36" i="1"/>
  <c r="G35" i="1"/>
  <c r="H35" i="1" s="1"/>
  <c r="J34" i="1"/>
  <c r="K37" i="1" s="1"/>
  <c r="I34" i="1"/>
  <c r="H34" i="1"/>
  <c r="G34" i="1"/>
  <c r="G33" i="1"/>
  <c r="H33" i="1" s="1"/>
  <c r="H32" i="1"/>
  <c r="G32" i="1"/>
  <c r="G31" i="1"/>
  <c r="H31" i="1" s="1"/>
  <c r="J30" i="1"/>
  <c r="K31" i="1" s="1"/>
  <c r="I30" i="1"/>
  <c r="K33" i="1" s="1"/>
  <c r="H30" i="1"/>
  <c r="G30" i="1"/>
  <c r="K29" i="1"/>
  <c r="G29" i="1"/>
  <c r="H29" i="1" s="1"/>
  <c r="H28" i="1"/>
  <c r="G28" i="1"/>
  <c r="G27" i="1"/>
  <c r="H27" i="1" s="1"/>
  <c r="J26" i="1"/>
  <c r="K27" i="1" s="1"/>
  <c r="I26" i="1"/>
  <c r="K28" i="1" s="1"/>
  <c r="H26" i="1"/>
  <c r="G26" i="1"/>
  <c r="G25" i="1"/>
  <c r="H25" i="1" s="1"/>
  <c r="H24" i="1"/>
  <c r="G24" i="1"/>
  <c r="G23" i="1"/>
  <c r="H23" i="1" s="1"/>
  <c r="J22" i="1"/>
  <c r="K25" i="1" s="1"/>
  <c r="I22" i="1"/>
  <c r="K24" i="1" s="1"/>
  <c r="H22" i="1"/>
  <c r="G22" i="1"/>
  <c r="K21" i="1"/>
  <c r="G21" i="1"/>
  <c r="H21" i="1" s="1"/>
  <c r="H20" i="1"/>
  <c r="G20" i="1"/>
  <c r="G19" i="1"/>
  <c r="H19" i="1" s="1"/>
  <c r="J18" i="1"/>
  <c r="I18" i="1"/>
  <c r="K20" i="1" s="1"/>
  <c r="H18" i="1"/>
  <c r="G18" i="1"/>
  <c r="G17" i="1"/>
  <c r="H17" i="1" s="1"/>
  <c r="H16" i="1"/>
  <c r="G16" i="1"/>
  <c r="K15" i="1"/>
  <c r="G15" i="1"/>
  <c r="H15" i="1" s="1"/>
  <c r="J14" i="1"/>
  <c r="K17" i="1" s="1"/>
  <c r="I14" i="1"/>
  <c r="K14" i="1" s="1"/>
  <c r="H14" i="1"/>
  <c r="G14" i="1"/>
  <c r="G13" i="1"/>
  <c r="H13" i="1" s="1"/>
  <c r="H12" i="1"/>
  <c r="G12" i="1"/>
  <c r="G11" i="1"/>
  <c r="H11" i="1" s="1"/>
  <c r="J10" i="1"/>
  <c r="K11" i="1" s="1"/>
  <c r="I10" i="1"/>
  <c r="H10" i="1"/>
  <c r="G10" i="1"/>
  <c r="G9" i="1"/>
  <c r="H9" i="1" s="1"/>
  <c r="H8" i="1"/>
  <c r="G8" i="1"/>
  <c r="G7" i="1"/>
  <c r="H7" i="1" s="1"/>
  <c r="J6" i="1"/>
  <c r="K6" i="1" s="1"/>
  <c r="I6" i="1"/>
  <c r="H6" i="1"/>
  <c r="G6" i="1"/>
  <c r="G5" i="1"/>
  <c r="H5" i="1" s="1"/>
  <c r="H4" i="1"/>
  <c r="G4" i="1"/>
  <c r="G3" i="1"/>
  <c r="H3" i="1" s="1"/>
  <c r="J2" i="1"/>
  <c r="K5" i="1" s="1"/>
  <c r="I2" i="1"/>
  <c r="H2" i="1"/>
  <c r="G2" i="1"/>
  <c r="K2" i="1" l="1"/>
  <c r="K16" i="1"/>
  <c r="K34" i="1"/>
  <c r="K48" i="1"/>
  <c r="K66" i="1"/>
  <c r="K71" i="1"/>
  <c r="K39" i="1"/>
  <c r="K12" i="1"/>
  <c r="K30" i="1"/>
  <c r="K62" i="1"/>
  <c r="K67" i="1"/>
  <c r="K35" i="1"/>
  <c r="K49" i="1"/>
  <c r="K8" i="1"/>
  <c r="K26" i="1"/>
  <c r="K40" i="1"/>
  <c r="K58" i="1"/>
  <c r="K72" i="1"/>
  <c r="K63" i="1"/>
  <c r="K4" i="1"/>
  <c r="K22" i="1"/>
  <c r="K36" i="1"/>
  <c r="K54" i="1"/>
  <c r="K68" i="1"/>
  <c r="K59" i="1"/>
  <c r="K73" i="1"/>
  <c r="K41" i="1"/>
  <c r="K18" i="1"/>
  <c r="K32" i="1"/>
  <c r="K50" i="1"/>
  <c r="K64" i="1"/>
  <c r="K55" i="1"/>
  <c r="K7" i="1"/>
  <c r="K3" i="1"/>
  <c r="K13" i="1"/>
  <c r="K9" i="1"/>
  <c r="K23" i="1"/>
  <c r="K19" i="1"/>
  <c r="K51" i="1"/>
  <c r="K10" i="1"/>
</calcChain>
</file>

<file path=xl/sharedStrings.xml><?xml version="1.0" encoding="utf-8"?>
<sst xmlns="http://schemas.openxmlformats.org/spreadsheetml/2006/main" count="620" uniqueCount="67">
  <si>
    <t>Participant ID.</t>
  </si>
  <si>
    <t>Condition</t>
  </si>
  <si>
    <t>Order</t>
  </si>
  <si>
    <t>Sequence</t>
  </si>
  <si>
    <t>VAS-Baseline</t>
  </si>
  <si>
    <t>VAS</t>
  </si>
  <si>
    <t>VAS-Change</t>
  </si>
  <si>
    <t>Percent change</t>
  </si>
  <si>
    <t>Mean</t>
  </si>
  <si>
    <t>SD</t>
  </si>
  <si>
    <t>Z-VAS</t>
  </si>
  <si>
    <t>No-vibrations</t>
  </si>
  <si>
    <t>Hand-vibration</t>
  </si>
  <si>
    <t>Arm-vibrations</t>
  </si>
  <si>
    <t>Arm+hand-vibrations</t>
  </si>
  <si>
    <t>Data not used due to logging errors</t>
  </si>
  <si>
    <t>-</t>
  </si>
  <si>
    <t>s_1</t>
  </si>
  <si>
    <t>s_2</t>
  </si>
  <si>
    <t>s_3</t>
  </si>
  <si>
    <t>s_4</t>
  </si>
  <si>
    <t>s_5</t>
  </si>
  <si>
    <t>s_6</t>
  </si>
  <si>
    <t>s_7</t>
  </si>
  <si>
    <t>s_8</t>
  </si>
  <si>
    <t>s_9</t>
  </si>
  <si>
    <t>s_10</t>
  </si>
  <si>
    <t>s_11</t>
  </si>
  <si>
    <t>s_12</t>
  </si>
  <si>
    <t>s_13</t>
  </si>
  <si>
    <t>s_14</t>
  </si>
  <si>
    <t>s_14_rev</t>
  </si>
  <si>
    <t>s_15</t>
  </si>
  <si>
    <t>s_16</t>
  </si>
  <si>
    <t>s_17</t>
  </si>
  <si>
    <t>s_17_rev</t>
  </si>
  <si>
    <t>s_18</t>
  </si>
  <si>
    <t>s_18_rev</t>
  </si>
  <si>
    <t>s_19</t>
  </si>
  <si>
    <t>Presence Score</t>
  </si>
  <si>
    <t>Participant ID</t>
  </si>
  <si>
    <t>0.8</t>
  </si>
  <si>
    <t>down to 1,5 (2,5)</t>
  </si>
  <si>
    <t>Participant</t>
  </si>
  <si>
    <t>Stim Time</t>
  </si>
  <si>
    <t>Left vibration</t>
  </si>
  <si>
    <t>Right vibration</t>
  </si>
  <si>
    <t>Hand vibration</t>
  </si>
  <si>
    <t>NoVibration</t>
  </si>
  <si>
    <t>HandVibration</t>
  </si>
  <si>
    <t>ArmVibration</t>
  </si>
  <si>
    <t>AllVibration</t>
  </si>
  <si>
    <t>Total Ghosts</t>
  </si>
  <si>
    <t>Ghosts Captured</t>
  </si>
  <si>
    <t>Total Haunted Toys</t>
  </si>
  <si>
    <t>Toys Held</t>
  </si>
  <si>
    <t>Trigger Presses</t>
  </si>
  <si>
    <t>GhostDir</t>
  </si>
  <si>
    <t>None</t>
  </si>
  <si>
    <t>GhostDirLast</t>
  </si>
  <si>
    <t>Right</t>
  </si>
  <si>
    <t>Left</t>
  </si>
  <si>
    <t>28 Right</t>
  </si>
  <si>
    <t>34 Right</t>
  </si>
  <si>
    <t>23 Left</t>
  </si>
  <si>
    <t>13 None</t>
  </si>
  <si>
    <t>30 Left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</si>
</sst>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\-??_-;_-@_-"/>
  </numFmts>
  <fonts count="8" x14ac:knownFonts="1">
    <font>
      <sz val="11"/>
      <color theme="1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color rgb="FF000000"/>
      <name val="Aptos Narrow"/>
      <family val="2"/>
      <charset val="1"/>
    </font>
    <font>
      <sz val="11"/>
      <color rgb="FF000000"/>
      <name val="Calibri"/>
      <family val="2"/>
      <charset val="1"/>
    </font>
    <font>
      <sz val="11"/>
      <color rgb="FF000000"/>
      <name val="Aptos Narrow"/>
      <family val="2"/>
      <charset val="1"/>
    </font>
    <font>
      <b/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  <font>
      <sz val="11"/>
      <color rgb="FFFF0000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theme="0"/>
        <bgColor rgb="FFE7E6E6"/>
      </patternFill>
    </fill>
    <fill>
      <patternFill patternType="solid">
        <fgColor theme="2"/>
        <bgColor rgb="FFDDDDDD"/>
      </patternFill>
    </fill>
    <fill>
      <patternFill patternType="solid">
        <fgColor rgb="FFFF0000"/>
        <bgColor rgb="FF993300"/>
      </patternFill>
    </fill>
    <fill>
      <patternFill patternType="solid">
        <fgColor rgb="FFE38D8D"/>
        <bgColor rgb="FFDF7B7B"/>
      </patternFill>
    </fill>
    <fill>
      <patternFill patternType="solid">
        <fgColor rgb="FFDF7B7B"/>
        <bgColor rgb="FFE38D8D"/>
      </patternFill>
    </fill>
    <fill>
      <patternFill patternType="solid">
        <fgColor theme="2" tint="-0.249977111117893"/>
        <bgColor rgb="FF999999"/>
      </patternFill>
    </fill>
    <fill>
      <patternFill patternType="solid">
        <fgColor rgb="FFFFD7D7"/>
        <bgColor rgb="FFE7E6E6"/>
      </patternFill>
    </fill>
    <fill>
      <patternFill patternType="solid">
        <fgColor rgb="FFDDDDDD"/>
        <bgColor rgb="FFE7E6E6"/>
      </patternFill>
    </fill>
  </fills>
  <borders count="9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CECE"/>
      </left>
      <right style="thin">
        <color rgb="FFD0CECE"/>
      </right>
      <top style="thin">
        <color rgb="FFD0CECE"/>
      </top>
      <bottom style="thin">
        <color rgb="FFD0CECE"/>
      </bottom>
      <diagonal/>
    </border>
    <border>
      <left/>
      <right style="thin">
        <color rgb="FF757171"/>
      </right>
      <top style="thin">
        <color rgb="FF757171"/>
      </top>
      <bottom style="thin">
        <color rgb="FF75717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">
    <xf numFmtId="0" fontId="0" fillId="0" borderId="0"/>
    <xf numFmtId="164" fontId="6" fillId="0" borderId="0" applyBorder="0" applyProtection="0"/>
  </cellStyleXfs>
  <cellXfs count="37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3" borderId="1" xfId="0" applyFill="1" applyBorder="1"/>
    <xf numFmtId="164" fontId="6" fillId="3" borderId="1" xfId="1" applyFill="1" applyBorder="1" applyProtection="1"/>
    <xf numFmtId="0" fontId="0" fillId="3" borderId="2" xfId="0" applyFill="1" applyBorder="1"/>
    <xf numFmtId="164" fontId="6" fillId="2" borderId="1" xfId="1" applyFill="1" applyBorder="1" applyProtection="1"/>
    <xf numFmtId="0" fontId="0" fillId="4" borderId="1" xfId="0" applyFill="1" applyBorder="1"/>
    <xf numFmtId="0" fontId="1" fillId="2" borderId="3" xfId="0" applyFont="1" applyFill="1" applyBorder="1"/>
    <xf numFmtId="0" fontId="2" fillId="0" borderId="3" xfId="0" applyFont="1" applyBorder="1"/>
    <xf numFmtId="0" fontId="2" fillId="0" borderId="4" xfId="0" applyFont="1" applyBorder="1"/>
    <xf numFmtId="0" fontId="3" fillId="3" borderId="3" xfId="0" applyFont="1" applyFill="1" applyBorder="1"/>
    <xf numFmtId="0" fontId="4" fillId="3" borderId="3" xfId="0" applyFont="1" applyFill="1" applyBorder="1"/>
    <xf numFmtId="0" fontId="4" fillId="3" borderId="4" xfId="0" applyFont="1" applyFill="1" applyBorder="1"/>
    <xf numFmtId="0" fontId="3" fillId="2" borderId="3" xfId="0" applyFont="1" applyFill="1" applyBorder="1"/>
    <xf numFmtId="0" fontId="4" fillId="2" borderId="3" xfId="0" applyFont="1" applyFill="1" applyBorder="1"/>
    <xf numFmtId="0" fontId="3" fillId="5" borderId="3" xfId="0" applyFont="1" applyFill="1" applyBorder="1"/>
    <xf numFmtId="0" fontId="4" fillId="5" borderId="3" xfId="0" applyFont="1" applyFill="1" applyBorder="1"/>
    <xf numFmtId="0" fontId="4" fillId="0" borderId="3" xfId="0" applyFont="1" applyBorder="1"/>
    <xf numFmtId="0" fontId="5" fillId="2" borderId="1" xfId="0" applyFont="1" applyFill="1" applyBorder="1"/>
    <xf numFmtId="0" fontId="5" fillId="0" borderId="0" xfId="0" applyFont="1"/>
    <xf numFmtId="0" fontId="3" fillId="6" borderId="3" xfId="0" applyFont="1" applyFill="1" applyBorder="1"/>
    <xf numFmtId="0" fontId="4" fillId="6" borderId="4" xfId="0" applyFont="1" applyFill="1" applyBorder="1"/>
    <xf numFmtId="0" fontId="0" fillId="6" borderId="1" xfId="0" applyFill="1" applyBorder="1"/>
    <xf numFmtId="0" fontId="0" fillId="7" borderId="5" xfId="0" applyFill="1" applyBorder="1"/>
    <xf numFmtId="0" fontId="0" fillId="2" borderId="3" xfId="0" applyFill="1" applyBorder="1"/>
    <xf numFmtId="0" fontId="0" fillId="7" borderId="2" xfId="0" applyFill="1" applyBorder="1"/>
    <xf numFmtId="0" fontId="0" fillId="7" borderId="6" xfId="0" applyFill="1" applyBorder="1"/>
    <xf numFmtId="0" fontId="0" fillId="2" borderId="7" xfId="0" applyFill="1" applyBorder="1"/>
    <xf numFmtId="0" fontId="0" fillId="0" borderId="1" xfId="0" applyBorder="1"/>
    <xf numFmtId="0" fontId="0" fillId="8" borderId="0" xfId="0" applyFill="1"/>
    <xf numFmtId="0" fontId="0" fillId="9" borderId="8" xfId="0" applyFill="1" applyBorder="1"/>
    <xf numFmtId="0" fontId="4" fillId="9" borderId="8" xfId="0" applyFont="1" applyFill="1" applyBorder="1"/>
    <xf numFmtId="0" fontId="0" fillId="0" borderId="0" xfId="0" applyFill="1" applyBorder="1"/>
    <xf numFmtId="0" fontId="0" fillId="9" borderId="0" xfId="0" applyFill="1" applyBorder="1"/>
    <xf numFmtId="0" fontId="7" fillId="0" borderId="0" xfId="0" applyFont="1" applyFill="1"/>
    <xf numFmtId="0" fontId="0" fillId="0" borderId="0" xfId="0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757171"/>
      <rgbColor rgb="FFAFABAB"/>
      <rgbColor rgb="FF993366"/>
      <rgbColor rgb="FFE7E6E6"/>
      <rgbColor rgb="FFCCFFFF"/>
      <rgbColor rgb="FF660066"/>
      <rgbColor rgb="FFDF7B7B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E38D8D"/>
      <rgbColor rgb="FFCC99FF"/>
      <rgbColor rgb="FFFFD7D7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342"/>
  <sheetViews>
    <sheetView zoomScale="95" zoomScaleNormal="95" workbookViewId="0">
      <pane ySplit="1" topLeftCell="A2" activePane="bottomLeft" state="frozen"/>
      <selection pane="bottomLeft" activeCell="K42" sqref="K42"/>
    </sheetView>
  </sheetViews>
  <sheetFormatPr defaultColWidth="8.85546875" defaultRowHeight="14.25" customHeight="1" x14ac:dyDescent="0.25"/>
  <cols>
    <col min="1" max="1" width="12.5703125" style="1" customWidth="1"/>
    <col min="2" max="3" width="18.85546875" style="1" customWidth="1"/>
    <col min="4" max="4" width="8.85546875" style="1"/>
    <col min="5" max="5" width="11.5703125" style="1" customWidth="1"/>
    <col min="6" max="6" width="8.85546875" style="1"/>
    <col min="7" max="7" width="10.85546875" style="1" customWidth="1"/>
    <col min="8" max="8" width="13.5703125" style="1" customWidth="1"/>
    <col min="9" max="16384" width="8.85546875" style="1"/>
  </cols>
  <sheetData>
    <row r="1" spans="1:59" ht="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</row>
    <row r="2" spans="1:59" s="5" customFormat="1" ht="15" x14ac:dyDescent="0.25">
      <c r="A2" s="3">
        <v>1</v>
      </c>
      <c r="B2" s="3" t="s">
        <v>11</v>
      </c>
      <c r="C2" s="3">
        <v>2</v>
      </c>
      <c r="D2" s="3">
        <v>2</v>
      </c>
      <c r="E2" s="3">
        <v>3</v>
      </c>
      <c r="F2" s="3">
        <v>2.5</v>
      </c>
      <c r="G2" s="3">
        <f t="shared" ref="G2:G33" si="0">F2-E2</f>
        <v>-0.5</v>
      </c>
      <c r="H2" s="4">
        <f t="shared" ref="H2:H33" si="1">(G2/E2)*100</f>
        <v>-16.666666666666664</v>
      </c>
      <c r="I2" s="3">
        <f>AVERAGE(F2:F5)</f>
        <v>2.2999999999999998</v>
      </c>
      <c r="J2" s="3">
        <f>_xlfn.STDEV.S(F2:F5)</f>
        <v>0.5715476066494094</v>
      </c>
      <c r="K2" s="3">
        <f>(F2-I2)/J2</f>
        <v>0.34992710611188216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</row>
    <row r="3" spans="1:59" s="5" customFormat="1" ht="15" x14ac:dyDescent="0.25">
      <c r="A3" s="3">
        <v>1</v>
      </c>
      <c r="B3" s="3" t="s">
        <v>12</v>
      </c>
      <c r="C3" s="3">
        <v>2</v>
      </c>
      <c r="D3" s="3">
        <v>1</v>
      </c>
      <c r="E3" s="3">
        <v>3</v>
      </c>
      <c r="F3" s="3">
        <v>2</v>
      </c>
      <c r="G3" s="3">
        <f t="shared" si="0"/>
        <v>-1</v>
      </c>
      <c r="H3" s="4">
        <f t="shared" si="1"/>
        <v>-33.333333333333329</v>
      </c>
      <c r="I3" s="3"/>
      <c r="J3" s="3"/>
      <c r="K3" s="3">
        <f>(F3-I2)/J2</f>
        <v>-0.52489065916782252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</row>
    <row r="4" spans="1:59" s="5" customFormat="1" ht="15" x14ac:dyDescent="0.25">
      <c r="A4" s="3">
        <v>1</v>
      </c>
      <c r="B4" s="3" t="s">
        <v>13</v>
      </c>
      <c r="C4" s="3">
        <v>2</v>
      </c>
      <c r="D4" s="3">
        <v>4</v>
      </c>
      <c r="E4" s="3">
        <v>3</v>
      </c>
      <c r="F4" s="3">
        <v>3</v>
      </c>
      <c r="G4" s="3">
        <f t="shared" si="0"/>
        <v>0</v>
      </c>
      <c r="H4" s="4">
        <f t="shared" si="1"/>
        <v>0</v>
      </c>
      <c r="I4" s="3"/>
      <c r="J4" s="3"/>
      <c r="K4" s="3">
        <f>(F4-I2)/J2</f>
        <v>1.2247448713915869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</row>
    <row r="5" spans="1:59" s="5" customFormat="1" ht="15" x14ac:dyDescent="0.25">
      <c r="A5" s="3">
        <v>1</v>
      </c>
      <c r="B5" s="3" t="s">
        <v>14</v>
      </c>
      <c r="C5" s="3">
        <v>2</v>
      </c>
      <c r="D5" s="3">
        <v>3</v>
      </c>
      <c r="E5" s="3">
        <v>3</v>
      </c>
      <c r="F5" s="3">
        <v>1.7</v>
      </c>
      <c r="G5" s="3">
        <f t="shared" si="0"/>
        <v>-1.3</v>
      </c>
      <c r="H5" s="4">
        <f t="shared" si="1"/>
        <v>-43.333333333333336</v>
      </c>
      <c r="I5" s="3"/>
      <c r="J5" s="3"/>
      <c r="K5" s="3">
        <f>(F5-I2)/J2</f>
        <v>-1.0497813183356453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</row>
    <row r="6" spans="1:59" ht="15" x14ac:dyDescent="0.25">
      <c r="A6" s="2">
        <v>2</v>
      </c>
      <c r="B6" s="2" t="s">
        <v>11</v>
      </c>
      <c r="C6" s="2">
        <v>1</v>
      </c>
      <c r="D6" s="2">
        <v>1</v>
      </c>
      <c r="E6" s="2">
        <v>4</v>
      </c>
      <c r="F6" s="2">
        <v>2</v>
      </c>
      <c r="G6" s="2">
        <f t="shared" si="0"/>
        <v>-2</v>
      </c>
      <c r="H6" s="6">
        <f t="shared" si="1"/>
        <v>-50</v>
      </c>
      <c r="I6" s="2">
        <f>AVERAGE(F6:F9)</f>
        <v>2.25</v>
      </c>
      <c r="J6" s="2">
        <f>_xlfn.STDEV.S(F6:F9)</f>
        <v>0.5</v>
      </c>
      <c r="K6" s="2">
        <f>(F6-I6)/J6</f>
        <v>-0.5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</row>
    <row r="7" spans="1:59" ht="15" x14ac:dyDescent="0.25">
      <c r="A7" s="2">
        <v>2</v>
      </c>
      <c r="B7" s="2" t="s">
        <v>12</v>
      </c>
      <c r="C7" s="2">
        <v>1</v>
      </c>
      <c r="D7" s="2">
        <v>2</v>
      </c>
      <c r="E7" s="2">
        <v>4</v>
      </c>
      <c r="F7" s="2">
        <v>3</v>
      </c>
      <c r="G7" s="2">
        <f t="shared" si="0"/>
        <v>-1</v>
      </c>
      <c r="H7" s="6">
        <f t="shared" si="1"/>
        <v>-25</v>
      </c>
      <c r="I7" s="2"/>
      <c r="J7" s="2"/>
      <c r="K7" s="2">
        <f>(F7-I6)/J6</f>
        <v>1.5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</row>
    <row r="8" spans="1:59" ht="15" x14ac:dyDescent="0.25">
      <c r="A8" s="2">
        <v>2</v>
      </c>
      <c r="B8" s="2" t="s">
        <v>13</v>
      </c>
      <c r="C8" s="2">
        <v>1</v>
      </c>
      <c r="D8" s="2">
        <v>3</v>
      </c>
      <c r="E8" s="2">
        <v>4</v>
      </c>
      <c r="F8" s="2">
        <v>2</v>
      </c>
      <c r="G8" s="2">
        <f t="shared" si="0"/>
        <v>-2</v>
      </c>
      <c r="H8" s="6">
        <f t="shared" si="1"/>
        <v>-50</v>
      </c>
      <c r="I8" s="2"/>
      <c r="J8" s="2"/>
      <c r="K8" s="2">
        <f>(F8-I6)/J6</f>
        <v>-0.5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</row>
    <row r="9" spans="1:59" ht="15" x14ac:dyDescent="0.25">
      <c r="A9" s="2">
        <v>2</v>
      </c>
      <c r="B9" s="2" t="s">
        <v>14</v>
      </c>
      <c r="C9" s="2">
        <v>1</v>
      </c>
      <c r="D9" s="2">
        <v>4</v>
      </c>
      <c r="E9" s="2">
        <v>4</v>
      </c>
      <c r="F9" s="2">
        <v>2</v>
      </c>
      <c r="G9" s="2">
        <f t="shared" si="0"/>
        <v>-2</v>
      </c>
      <c r="H9" s="6">
        <f t="shared" si="1"/>
        <v>-50</v>
      </c>
      <c r="I9" s="2"/>
      <c r="J9" s="2"/>
      <c r="K9" s="2">
        <f>(F9-I6)/J6</f>
        <v>-0.5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</row>
    <row r="10" spans="1:59" s="5" customFormat="1" ht="15" x14ac:dyDescent="0.25">
      <c r="A10" s="3">
        <v>3</v>
      </c>
      <c r="B10" s="3" t="s">
        <v>11</v>
      </c>
      <c r="C10" s="3">
        <v>2</v>
      </c>
      <c r="D10" s="3">
        <v>1</v>
      </c>
      <c r="E10" s="3">
        <v>0.8</v>
      </c>
      <c r="F10" s="3">
        <v>5</v>
      </c>
      <c r="G10" s="3">
        <f t="shared" si="0"/>
        <v>4.2</v>
      </c>
      <c r="H10" s="4">
        <f t="shared" si="1"/>
        <v>525</v>
      </c>
      <c r="I10" s="3">
        <f>AVERAGE(F10:F13)</f>
        <v>2.5</v>
      </c>
      <c r="J10" s="3">
        <f>_xlfn.STDEV.S(F10:F13)</f>
        <v>1.7320508075688772</v>
      </c>
      <c r="K10" s="3">
        <f>(F10-I10)/J10</f>
        <v>1.4433756729740645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</row>
    <row r="11" spans="1:59" s="5" customFormat="1" ht="15" x14ac:dyDescent="0.25">
      <c r="A11" s="3">
        <v>3</v>
      </c>
      <c r="B11" s="3" t="s">
        <v>12</v>
      </c>
      <c r="C11" s="3">
        <v>2</v>
      </c>
      <c r="D11" s="3">
        <v>2</v>
      </c>
      <c r="E11" s="3">
        <v>0.8</v>
      </c>
      <c r="F11" s="3">
        <v>2</v>
      </c>
      <c r="G11" s="3">
        <f t="shared" si="0"/>
        <v>1.2</v>
      </c>
      <c r="H11" s="4">
        <f t="shared" si="1"/>
        <v>149.99999999999997</v>
      </c>
      <c r="I11" s="3"/>
      <c r="J11" s="3"/>
      <c r="K11" s="3">
        <f>(F11-I10)/J10</f>
        <v>-0.28867513459481292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</row>
    <row r="12" spans="1:59" s="5" customFormat="1" ht="15" x14ac:dyDescent="0.25">
      <c r="A12" s="3">
        <v>3</v>
      </c>
      <c r="B12" s="3" t="s">
        <v>13</v>
      </c>
      <c r="C12" s="3">
        <v>2</v>
      </c>
      <c r="D12" s="3">
        <v>4</v>
      </c>
      <c r="E12" s="3">
        <v>0.8</v>
      </c>
      <c r="F12" s="3">
        <v>1</v>
      </c>
      <c r="G12" s="3">
        <f t="shared" si="0"/>
        <v>0.19999999999999996</v>
      </c>
      <c r="H12" s="4">
        <f t="shared" si="1"/>
        <v>24.999999999999993</v>
      </c>
      <c r="I12" s="3"/>
      <c r="J12" s="3"/>
      <c r="K12" s="3">
        <f>(F12-I10)/J10</f>
        <v>-0.86602540378443871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</row>
    <row r="13" spans="1:59" s="5" customFormat="1" ht="15" x14ac:dyDescent="0.25">
      <c r="A13" s="3">
        <v>3</v>
      </c>
      <c r="B13" s="3" t="s">
        <v>14</v>
      </c>
      <c r="C13" s="3">
        <v>2</v>
      </c>
      <c r="D13" s="3">
        <v>3</v>
      </c>
      <c r="E13" s="3">
        <v>0.8</v>
      </c>
      <c r="F13" s="3">
        <v>2</v>
      </c>
      <c r="G13" s="3">
        <f t="shared" si="0"/>
        <v>1.2</v>
      </c>
      <c r="H13" s="4">
        <f t="shared" si="1"/>
        <v>149.99999999999997</v>
      </c>
      <c r="I13" s="3"/>
      <c r="J13" s="3"/>
      <c r="K13" s="3">
        <f>(F13-I10)/J10</f>
        <v>-0.28867513459481292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</row>
    <row r="14" spans="1:59" ht="15" x14ac:dyDescent="0.25">
      <c r="A14" s="2">
        <v>4</v>
      </c>
      <c r="B14" s="2" t="s">
        <v>11</v>
      </c>
      <c r="C14" s="2">
        <v>1</v>
      </c>
      <c r="D14" s="2">
        <v>1</v>
      </c>
      <c r="E14" s="2">
        <v>5</v>
      </c>
      <c r="F14" s="2">
        <v>5</v>
      </c>
      <c r="G14" s="2">
        <f t="shared" si="0"/>
        <v>0</v>
      </c>
      <c r="H14" s="6">
        <f t="shared" si="1"/>
        <v>0</v>
      </c>
      <c r="I14" s="2">
        <f>AVERAGE(F14:F17)</f>
        <v>4.75</v>
      </c>
      <c r="J14" s="2">
        <f>_xlfn.STDEV.S(F14:F17)</f>
        <v>0.5</v>
      </c>
      <c r="K14" s="2">
        <f>(F14-I14)/J14</f>
        <v>0.5</v>
      </c>
      <c r="L14" s="7"/>
      <c r="M14" s="2" t="s">
        <v>15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</row>
    <row r="15" spans="1:59" ht="15" x14ac:dyDescent="0.25">
      <c r="A15" s="2">
        <v>4</v>
      </c>
      <c r="B15" s="2" t="s">
        <v>12</v>
      </c>
      <c r="C15" s="2">
        <v>1</v>
      </c>
      <c r="D15" s="2">
        <v>2</v>
      </c>
      <c r="E15" s="2">
        <v>5</v>
      </c>
      <c r="F15" s="2">
        <v>5</v>
      </c>
      <c r="G15" s="2">
        <f t="shared" si="0"/>
        <v>0</v>
      </c>
      <c r="H15" s="6">
        <f t="shared" si="1"/>
        <v>0</v>
      </c>
      <c r="I15" s="2"/>
      <c r="J15" s="2"/>
      <c r="K15" s="2">
        <f>(F15-I14)/J14</f>
        <v>0.5</v>
      </c>
      <c r="L15" s="7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</row>
    <row r="16" spans="1:59" ht="15" x14ac:dyDescent="0.25">
      <c r="A16" s="2">
        <v>4</v>
      </c>
      <c r="B16" s="2" t="s">
        <v>13</v>
      </c>
      <c r="C16" s="2">
        <v>1</v>
      </c>
      <c r="D16" s="2">
        <v>3</v>
      </c>
      <c r="E16" s="2">
        <v>5</v>
      </c>
      <c r="F16" s="2">
        <v>4</v>
      </c>
      <c r="G16" s="2">
        <f t="shared" si="0"/>
        <v>-1</v>
      </c>
      <c r="H16" s="6">
        <f t="shared" si="1"/>
        <v>-20</v>
      </c>
      <c r="I16" s="2"/>
      <c r="J16" s="2"/>
      <c r="K16" s="2">
        <f>(F16-I14)/J14</f>
        <v>-1.5</v>
      </c>
      <c r="L16" s="7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</row>
    <row r="17" spans="1:59" ht="15" customHeight="1" x14ac:dyDescent="0.25">
      <c r="A17" s="2">
        <v>4</v>
      </c>
      <c r="B17" s="2" t="s">
        <v>14</v>
      </c>
      <c r="C17" s="2">
        <v>1</v>
      </c>
      <c r="D17" s="2">
        <v>4</v>
      </c>
      <c r="E17" s="2">
        <v>5</v>
      </c>
      <c r="F17" s="2">
        <v>5</v>
      </c>
      <c r="G17" s="2">
        <f t="shared" si="0"/>
        <v>0</v>
      </c>
      <c r="H17" s="6">
        <f t="shared" si="1"/>
        <v>0</v>
      </c>
      <c r="I17" s="2"/>
      <c r="J17" s="2"/>
      <c r="K17" s="2">
        <f>(F17-I14)/J14</f>
        <v>0.5</v>
      </c>
      <c r="L17" s="7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</row>
    <row r="18" spans="1:59" s="5" customFormat="1" ht="14.25" customHeight="1" x14ac:dyDescent="0.25">
      <c r="A18" s="3">
        <v>5</v>
      </c>
      <c r="B18" s="3" t="s">
        <v>11</v>
      </c>
      <c r="C18" s="3">
        <v>3</v>
      </c>
      <c r="D18" s="3">
        <v>3</v>
      </c>
      <c r="E18" s="3">
        <v>4</v>
      </c>
      <c r="F18" s="3" t="s">
        <v>16</v>
      </c>
      <c r="G18" s="3" t="e">
        <f t="shared" si="0"/>
        <v>#VALUE!</v>
      </c>
      <c r="H18" s="4" t="e">
        <f t="shared" si="1"/>
        <v>#VALUE!</v>
      </c>
      <c r="I18" s="3">
        <f>AVERAGE(F18:F21)</f>
        <v>4.5</v>
      </c>
      <c r="J18" s="3">
        <f>_xlfn.STDEV.S(F18:F21)</f>
        <v>0.70710678118654757</v>
      </c>
      <c r="K18" s="3" t="e">
        <f>(F18-I18)/J18</f>
        <v>#VALUE!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</row>
    <row r="19" spans="1:59" s="5" customFormat="1" ht="15" x14ac:dyDescent="0.25">
      <c r="A19" s="3">
        <v>5</v>
      </c>
      <c r="B19" s="3" t="s">
        <v>12</v>
      </c>
      <c r="C19" s="3">
        <v>3</v>
      </c>
      <c r="D19" s="3">
        <v>4</v>
      </c>
      <c r="E19" s="3">
        <v>4</v>
      </c>
      <c r="F19" s="3" t="s">
        <v>16</v>
      </c>
      <c r="G19" s="3" t="e">
        <f t="shared" si="0"/>
        <v>#VALUE!</v>
      </c>
      <c r="H19" s="4" t="e">
        <f t="shared" si="1"/>
        <v>#VALUE!</v>
      </c>
      <c r="I19" s="3"/>
      <c r="J19" s="3"/>
      <c r="K19" s="3" t="e">
        <f>(F19-I18)/J18</f>
        <v>#VALUE!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</row>
    <row r="20" spans="1:59" s="5" customFormat="1" ht="15" x14ac:dyDescent="0.25">
      <c r="A20" s="3">
        <v>5</v>
      </c>
      <c r="B20" s="3" t="s">
        <v>13</v>
      </c>
      <c r="C20" s="3">
        <v>3</v>
      </c>
      <c r="D20" s="3">
        <v>1</v>
      </c>
      <c r="E20" s="3">
        <v>4</v>
      </c>
      <c r="F20" s="3">
        <v>4</v>
      </c>
      <c r="G20" s="3">
        <f t="shared" si="0"/>
        <v>0</v>
      </c>
      <c r="H20" s="4">
        <f t="shared" si="1"/>
        <v>0</v>
      </c>
      <c r="I20" s="3"/>
      <c r="J20" s="3"/>
      <c r="K20" s="3">
        <f>(F20-I18)/J18</f>
        <v>-0.70710678118654746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</row>
    <row r="21" spans="1:59" s="5" customFormat="1" ht="15" x14ac:dyDescent="0.25">
      <c r="A21" s="3">
        <v>5</v>
      </c>
      <c r="B21" s="3" t="s">
        <v>14</v>
      </c>
      <c r="C21" s="3">
        <v>3</v>
      </c>
      <c r="D21" s="3">
        <v>2</v>
      </c>
      <c r="E21" s="3">
        <v>4</v>
      </c>
      <c r="F21" s="3">
        <v>5</v>
      </c>
      <c r="G21" s="3">
        <f t="shared" si="0"/>
        <v>1</v>
      </c>
      <c r="H21" s="4">
        <f t="shared" si="1"/>
        <v>25</v>
      </c>
      <c r="I21" s="3"/>
      <c r="J21" s="3"/>
      <c r="K21" s="3">
        <f>(F21-I18)/J18</f>
        <v>0.70710678118654746</v>
      </c>
      <c r="L21" s="3"/>
      <c r="M21" s="3" t="s">
        <v>15</v>
      </c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</row>
    <row r="22" spans="1:59" ht="15" x14ac:dyDescent="0.25">
      <c r="A22" s="2">
        <v>6</v>
      </c>
      <c r="B22" s="2" t="s">
        <v>11</v>
      </c>
      <c r="C22" s="2">
        <v>4</v>
      </c>
      <c r="D22" s="2">
        <v>4</v>
      </c>
      <c r="E22" s="2">
        <v>2.5</v>
      </c>
      <c r="F22" s="2">
        <v>4</v>
      </c>
      <c r="G22" s="2">
        <f t="shared" si="0"/>
        <v>1.5</v>
      </c>
      <c r="H22" s="6">
        <f t="shared" si="1"/>
        <v>60</v>
      </c>
      <c r="I22" s="2">
        <f>AVERAGE(F22:F25)</f>
        <v>2.25</v>
      </c>
      <c r="J22" s="2">
        <f>_xlfn.STDEV.S(F22:F25)</f>
        <v>1.3228756555322954</v>
      </c>
      <c r="K22" s="2">
        <f>(F22-I22)/J22</f>
        <v>1.3228756555322951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</row>
    <row r="23" spans="1:59" ht="15" x14ac:dyDescent="0.25">
      <c r="A23" s="2">
        <v>6</v>
      </c>
      <c r="B23" s="2" t="s">
        <v>12</v>
      </c>
      <c r="C23" s="2">
        <v>4</v>
      </c>
      <c r="D23" s="2">
        <v>3</v>
      </c>
      <c r="E23" s="2">
        <v>2.5</v>
      </c>
      <c r="F23" s="2">
        <v>1</v>
      </c>
      <c r="G23" s="2">
        <f t="shared" si="0"/>
        <v>-1.5</v>
      </c>
      <c r="H23" s="6">
        <f t="shared" si="1"/>
        <v>-60</v>
      </c>
      <c r="I23" s="2"/>
      <c r="J23" s="2"/>
      <c r="K23" s="2">
        <f>(F23-I22)/J22</f>
        <v>-0.94491118252306805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 ht="15" x14ac:dyDescent="0.25">
      <c r="A24" s="2">
        <v>6</v>
      </c>
      <c r="B24" s="2" t="s">
        <v>13</v>
      </c>
      <c r="C24" s="2">
        <v>4</v>
      </c>
      <c r="D24" s="2">
        <v>2</v>
      </c>
      <c r="E24" s="2">
        <v>2.5</v>
      </c>
      <c r="F24" s="2">
        <v>2.5</v>
      </c>
      <c r="G24" s="2">
        <f t="shared" si="0"/>
        <v>0</v>
      </c>
      <c r="H24" s="6">
        <f t="shared" si="1"/>
        <v>0</v>
      </c>
      <c r="I24" s="2"/>
      <c r="J24" s="2"/>
      <c r="K24" s="2">
        <f>(F24-I22)/J22</f>
        <v>0.1889822365046136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 ht="15" x14ac:dyDescent="0.25">
      <c r="A25" s="2">
        <v>6</v>
      </c>
      <c r="B25" s="2" t="s">
        <v>14</v>
      </c>
      <c r="C25" s="2">
        <v>4</v>
      </c>
      <c r="D25" s="2">
        <v>1</v>
      </c>
      <c r="E25" s="2">
        <v>2.5</v>
      </c>
      <c r="F25" s="2">
        <v>1.5</v>
      </c>
      <c r="G25" s="2">
        <f t="shared" si="0"/>
        <v>-1</v>
      </c>
      <c r="H25" s="6">
        <f t="shared" si="1"/>
        <v>-40</v>
      </c>
      <c r="I25" s="2"/>
      <c r="J25" s="2"/>
      <c r="K25" s="2">
        <f>(F25-I22)/J22</f>
        <v>-0.56694670951384085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 s="5" customFormat="1" ht="15" x14ac:dyDescent="0.25">
      <c r="A26" s="3">
        <v>7</v>
      </c>
      <c r="B26" s="3" t="s">
        <v>11</v>
      </c>
      <c r="C26" s="3">
        <v>1</v>
      </c>
      <c r="D26" s="3">
        <v>1</v>
      </c>
      <c r="E26" s="3">
        <v>5</v>
      </c>
      <c r="F26" s="3">
        <v>3</v>
      </c>
      <c r="G26" s="3">
        <f t="shared" si="0"/>
        <v>-2</v>
      </c>
      <c r="H26" s="4">
        <f t="shared" si="1"/>
        <v>-40</v>
      </c>
      <c r="I26" s="3">
        <f>AVERAGE(F26:F29)</f>
        <v>2.95</v>
      </c>
      <c r="J26" s="3">
        <f>_xlfn.STDEV.S(F26:F29)</f>
        <v>0.82259751195020314</v>
      </c>
      <c r="K26" s="3">
        <f>(F26-I26)/J26</f>
        <v>6.0783067385482961E-2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</row>
    <row r="27" spans="1:59" s="5" customFormat="1" ht="15" x14ac:dyDescent="0.25">
      <c r="A27" s="3">
        <v>7</v>
      </c>
      <c r="B27" s="3" t="s">
        <v>12</v>
      </c>
      <c r="C27" s="3">
        <v>1</v>
      </c>
      <c r="D27" s="3">
        <v>2</v>
      </c>
      <c r="E27" s="3">
        <v>5</v>
      </c>
      <c r="F27" s="3">
        <v>4</v>
      </c>
      <c r="G27" s="3">
        <f t="shared" si="0"/>
        <v>-1</v>
      </c>
      <c r="H27" s="4">
        <f t="shared" si="1"/>
        <v>-20</v>
      </c>
      <c r="I27" s="3"/>
      <c r="J27" s="3"/>
      <c r="K27" s="3">
        <f>(F27-I26)/J26</f>
        <v>1.2764444150951464</v>
      </c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</row>
    <row r="28" spans="1:59" s="5" customFormat="1" ht="15" x14ac:dyDescent="0.25">
      <c r="A28" s="3">
        <v>7</v>
      </c>
      <c r="B28" s="3" t="s">
        <v>13</v>
      </c>
      <c r="C28" s="3">
        <v>1</v>
      </c>
      <c r="D28" s="3">
        <v>3</v>
      </c>
      <c r="E28" s="3">
        <v>5</v>
      </c>
      <c r="F28" s="3">
        <v>2.8</v>
      </c>
      <c r="G28" s="3">
        <f t="shared" si="0"/>
        <v>-2.2000000000000002</v>
      </c>
      <c r="H28" s="4">
        <f t="shared" si="1"/>
        <v>-44.000000000000007</v>
      </c>
      <c r="I28" s="3"/>
      <c r="J28" s="3"/>
      <c r="K28" s="3">
        <f>(F28-I26)/J26</f>
        <v>-0.18234920215644995</v>
      </c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</row>
    <row r="29" spans="1:59" s="5" customFormat="1" ht="15" x14ac:dyDescent="0.25">
      <c r="A29" s="3">
        <v>7</v>
      </c>
      <c r="B29" s="3" t="s">
        <v>14</v>
      </c>
      <c r="C29" s="3">
        <v>1</v>
      </c>
      <c r="D29" s="3">
        <v>4</v>
      </c>
      <c r="E29" s="3">
        <v>5</v>
      </c>
      <c r="F29" s="3">
        <v>2</v>
      </c>
      <c r="G29" s="3">
        <f t="shared" si="0"/>
        <v>-3</v>
      </c>
      <c r="H29" s="4">
        <f t="shared" si="1"/>
        <v>-60</v>
      </c>
      <c r="I29" s="3"/>
      <c r="J29" s="3"/>
      <c r="K29" s="3">
        <f>(F29-I26)/J26</f>
        <v>-1.1548782803241806</v>
      </c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</row>
    <row r="30" spans="1:59" ht="15" x14ac:dyDescent="0.25">
      <c r="A30" s="2">
        <v>8</v>
      </c>
      <c r="B30" s="2" t="s">
        <v>11</v>
      </c>
      <c r="C30" s="2">
        <v>4</v>
      </c>
      <c r="D30" s="2">
        <v>4</v>
      </c>
      <c r="E30" s="2">
        <v>6</v>
      </c>
      <c r="F30" s="2">
        <v>3</v>
      </c>
      <c r="G30" s="2">
        <f t="shared" si="0"/>
        <v>-3</v>
      </c>
      <c r="H30" s="6">
        <f t="shared" si="1"/>
        <v>-50</v>
      </c>
      <c r="I30" s="2">
        <f>AVERAGE(F30:F33)</f>
        <v>3.5</v>
      </c>
      <c r="J30" s="2">
        <f>_xlfn.STDEV.S(F30:F33)</f>
        <v>1.2909944487358056</v>
      </c>
      <c r="K30" s="2">
        <f>(F30-I30)/J30</f>
        <v>-0.3872983346207417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 ht="15" x14ac:dyDescent="0.25">
      <c r="A31" s="2">
        <v>8</v>
      </c>
      <c r="B31" s="2" t="s">
        <v>12</v>
      </c>
      <c r="C31" s="2">
        <v>4</v>
      </c>
      <c r="D31" s="2">
        <v>3</v>
      </c>
      <c r="E31" s="2">
        <v>6</v>
      </c>
      <c r="F31" s="2">
        <v>5</v>
      </c>
      <c r="G31" s="2">
        <f t="shared" si="0"/>
        <v>-1</v>
      </c>
      <c r="H31" s="6">
        <f t="shared" si="1"/>
        <v>-16.666666666666664</v>
      </c>
      <c r="I31" s="2"/>
      <c r="J31" s="2"/>
      <c r="K31" s="2">
        <f>(F31-I30)/J30</f>
        <v>1.1618950038622251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 ht="15" x14ac:dyDescent="0.25">
      <c r="A32" s="2">
        <v>8</v>
      </c>
      <c r="B32" s="2" t="s">
        <v>13</v>
      </c>
      <c r="C32" s="2">
        <v>4</v>
      </c>
      <c r="D32" s="2">
        <v>2</v>
      </c>
      <c r="E32" s="2">
        <v>6</v>
      </c>
      <c r="F32" s="2">
        <v>4</v>
      </c>
      <c r="G32" s="2">
        <f t="shared" si="0"/>
        <v>-2</v>
      </c>
      <c r="H32" s="6">
        <f t="shared" si="1"/>
        <v>-33.333333333333329</v>
      </c>
      <c r="I32" s="2"/>
      <c r="J32" s="2"/>
      <c r="K32" s="2">
        <f>(F32-I30)/J30</f>
        <v>0.3872983346207417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 ht="15" x14ac:dyDescent="0.25">
      <c r="A33" s="2">
        <v>8</v>
      </c>
      <c r="B33" s="2" t="s">
        <v>14</v>
      </c>
      <c r="C33" s="2">
        <v>4</v>
      </c>
      <c r="D33" s="2">
        <v>1</v>
      </c>
      <c r="E33" s="2">
        <v>6</v>
      </c>
      <c r="F33" s="2">
        <v>2</v>
      </c>
      <c r="G33" s="2">
        <f t="shared" si="0"/>
        <v>-4</v>
      </c>
      <c r="H33" s="6">
        <f t="shared" si="1"/>
        <v>-66.666666666666657</v>
      </c>
      <c r="I33" s="2"/>
      <c r="J33" s="2"/>
      <c r="K33" s="2">
        <f>(F33-I30)/J30</f>
        <v>-1.1618950038622251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 s="5" customFormat="1" ht="15" x14ac:dyDescent="0.25">
      <c r="A34" s="3">
        <v>9</v>
      </c>
      <c r="B34" s="3" t="s">
        <v>11</v>
      </c>
      <c r="C34" s="3">
        <v>2</v>
      </c>
      <c r="D34" s="3">
        <v>2</v>
      </c>
      <c r="E34" s="3">
        <v>1.2</v>
      </c>
      <c r="F34" s="3">
        <v>2.5</v>
      </c>
      <c r="G34" s="3">
        <f t="shared" ref="G34:G65" si="2">F34-E34</f>
        <v>1.3</v>
      </c>
      <c r="H34" s="4">
        <f t="shared" ref="H34:H65" si="3">(G34/E34)*100</f>
        <v>108.33333333333334</v>
      </c>
      <c r="I34" s="3">
        <f>AVERAGE(F34:F37)</f>
        <v>1.75</v>
      </c>
      <c r="J34" s="3">
        <f>_xlfn.STDEV.S(F34:F37)</f>
        <v>0.8660254037844386</v>
      </c>
      <c r="K34" s="3">
        <f>(F34-I34)/J34</f>
        <v>0.86602540378443871</v>
      </c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</row>
    <row r="35" spans="1:59" s="5" customFormat="1" ht="15" x14ac:dyDescent="0.25">
      <c r="A35" s="3">
        <v>9</v>
      </c>
      <c r="B35" s="3" t="s">
        <v>12</v>
      </c>
      <c r="C35" s="3">
        <v>2</v>
      </c>
      <c r="D35" s="3">
        <v>1</v>
      </c>
      <c r="E35" s="3">
        <v>1.2</v>
      </c>
      <c r="F35" s="3">
        <v>2.5</v>
      </c>
      <c r="G35" s="3">
        <f t="shared" si="2"/>
        <v>1.3</v>
      </c>
      <c r="H35" s="4">
        <f t="shared" si="3"/>
        <v>108.33333333333334</v>
      </c>
      <c r="I35" s="3"/>
      <c r="J35" s="3"/>
      <c r="K35" s="3">
        <f>(F35-I34)/J34</f>
        <v>0.86602540378443871</v>
      </c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</row>
    <row r="36" spans="1:59" s="5" customFormat="1" ht="15" x14ac:dyDescent="0.25">
      <c r="A36" s="3">
        <v>9</v>
      </c>
      <c r="B36" s="3" t="s">
        <v>13</v>
      </c>
      <c r="C36" s="3">
        <v>2</v>
      </c>
      <c r="D36" s="3">
        <v>4</v>
      </c>
      <c r="E36" s="3">
        <v>1.2</v>
      </c>
      <c r="F36" s="3">
        <v>1</v>
      </c>
      <c r="G36" s="3">
        <f t="shared" si="2"/>
        <v>-0.19999999999999996</v>
      </c>
      <c r="H36" s="4">
        <f t="shared" si="3"/>
        <v>-16.666666666666664</v>
      </c>
      <c r="I36" s="3"/>
      <c r="J36" s="3"/>
      <c r="K36" s="3">
        <f>(F36-I34)/J34</f>
        <v>-0.86602540378443871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</row>
    <row r="37" spans="1:59" s="5" customFormat="1" ht="15" x14ac:dyDescent="0.25">
      <c r="A37" s="3">
        <v>9</v>
      </c>
      <c r="B37" s="3" t="s">
        <v>14</v>
      </c>
      <c r="C37" s="3">
        <v>2</v>
      </c>
      <c r="D37" s="3">
        <v>3</v>
      </c>
      <c r="E37" s="3">
        <v>1.2</v>
      </c>
      <c r="F37" s="3">
        <v>1</v>
      </c>
      <c r="G37" s="3">
        <f t="shared" si="2"/>
        <v>-0.19999999999999996</v>
      </c>
      <c r="H37" s="4">
        <f t="shared" si="3"/>
        <v>-16.666666666666664</v>
      </c>
      <c r="I37" s="3"/>
      <c r="J37" s="3"/>
      <c r="K37" s="3">
        <f>(F37-I34)/J34</f>
        <v>-0.86602540378443871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</row>
    <row r="38" spans="1:59" ht="15" x14ac:dyDescent="0.25">
      <c r="A38" s="2">
        <v>10</v>
      </c>
      <c r="B38" s="2" t="s">
        <v>11</v>
      </c>
      <c r="C38" s="2">
        <v>4</v>
      </c>
      <c r="D38" s="2">
        <v>4</v>
      </c>
      <c r="E38" s="2">
        <v>1.5</v>
      </c>
      <c r="F38" s="2">
        <v>1</v>
      </c>
      <c r="G38" s="2">
        <f t="shared" si="2"/>
        <v>-0.5</v>
      </c>
      <c r="H38" s="6">
        <f t="shared" si="3"/>
        <v>-33.333333333333329</v>
      </c>
      <c r="I38" s="2">
        <f>AVERAGE(F38:F41)</f>
        <v>0.9375</v>
      </c>
      <c r="J38" s="2">
        <f>_xlfn.STDEV.S(F38:F41)</f>
        <v>0.42695628191498325</v>
      </c>
      <c r="K38" s="2">
        <f>(F38-I38)/J38</f>
        <v>0.14638501094227999</v>
      </c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 ht="15" x14ac:dyDescent="0.25">
      <c r="A39" s="2">
        <v>10</v>
      </c>
      <c r="B39" s="2" t="s">
        <v>12</v>
      </c>
      <c r="C39" s="2">
        <v>4</v>
      </c>
      <c r="D39" s="2">
        <v>3</v>
      </c>
      <c r="E39" s="2">
        <v>1.5</v>
      </c>
      <c r="F39" s="2">
        <v>0.5</v>
      </c>
      <c r="G39" s="2">
        <f t="shared" si="2"/>
        <v>-1</v>
      </c>
      <c r="H39" s="6">
        <f t="shared" si="3"/>
        <v>-66.666666666666657</v>
      </c>
      <c r="I39" s="2"/>
      <c r="J39" s="2"/>
      <c r="K39" s="2">
        <f>(F39-I38)/J38</f>
        <v>-1.0246950765959599</v>
      </c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 ht="15" x14ac:dyDescent="0.25">
      <c r="A40" s="2">
        <v>10</v>
      </c>
      <c r="B40" s="2" t="s">
        <v>13</v>
      </c>
      <c r="C40" s="2">
        <v>4</v>
      </c>
      <c r="D40" s="2">
        <v>2</v>
      </c>
      <c r="E40" s="2">
        <v>1.5</v>
      </c>
      <c r="F40" s="2">
        <v>0.75</v>
      </c>
      <c r="G40" s="2">
        <f t="shared" si="2"/>
        <v>-0.75</v>
      </c>
      <c r="H40" s="6">
        <f t="shared" si="3"/>
        <v>-50</v>
      </c>
      <c r="I40" s="2"/>
      <c r="J40" s="2"/>
      <c r="K40" s="2">
        <f>(F40-I38)/J38</f>
        <v>-0.43915503282683993</v>
      </c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 ht="15" x14ac:dyDescent="0.25">
      <c r="A41" s="2">
        <v>10</v>
      </c>
      <c r="B41" s="2" t="s">
        <v>14</v>
      </c>
      <c r="C41" s="2">
        <v>4</v>
      </c>
      <c r="D41" s="2">
        <v>1</v>
      </c>
      <c r="E41" s="2">
        <v>1.5</v>
      </c>
      <c r="F41" s="2">
        <v>1.5</v>
      </c>
      <c r="G41" s="2">
        <f t="shared" si="2"/>
        <v>0</v>
      </c>
      <c r="H41" s="6">
        <f t="shared" si="3"/>
        <v>0</v>
      </c>
      <c r="I41" s="2"/>
      <c r="J41" s="2"/>
      <c r="K41" s="2">
        <f>(F41-I38)/J38</f>
        <v>1.3174650984805198</v>
      </c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 s="5" customFormat="1" ht="15" x14ac:dyDescent="0.25">
      <c r="A42" s="3">
        <v>11</v>
      </c>
      <c r="B42" s="3" t="s">
        <v>11</v>
      </c>
      <c r="C42" s="3">
        <v>3</v>
      </c>
      <c r="D42" s="3">
        <v>3</v>
      </c>
      <c r="E42" s="3">
        <v>1</v>
      </c>
      <c r="F42" s="3">
        <v>0.5</v>
      </c>
      <c r="G42" s="3">
        <f t="shared" si="2"/>
        <v>-0.5</v>
      </c>
      <c r="H42" s="4">
        <f t="shared" si="3"/>
        <v>-50</v>
      </c>
      <c r="I42" s="3">
        <f>AVERAGE(F42:F45)</f>
        <v>0.5</v>
      </c>
      <c r="J42" s="3">
        <f>_xlfn.STDEV.S(F42:F45)</f>
        <v>0</v>
      </c>
      <c r="K42" s="3" t="e">
        <f>(F42-I42)/J42</f>
        <v>#DIV/0!</v>
      </c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</row>
    <row r="43" spans="1:59" s="5" customFormat="1" ht="15" x14ac:dyDescent="0.25">
      <c r="A43" s="3">
        <v>11</v>
      </c>
      <c r="B43" s="3" t="s">
        <v>12</v>
      </c>
      <c r="C43" s="3">
        <v>3</v>
      </c>
      <c r="D43" s="3">
        <v>4</v>
      </c>
      <c r="E43" s="3">
        <v>1</v>
      </c>
      <c r="F43" s="3">
        <v>0.5</v>
      </c>
      <c r="G43" s="3">
        <f t="shared" si="2"/>
        <v>-0.5</v>
      </c>
      <c r="H43" s="4">
        <f t="shared" si="3"/>
        <v>-50</v>
      </c>
      <c r="I43" s="3"/>
      <c r="J43" s="3"/>
      <c r="K43" s="3" t="e">
        <f>(F43-I42)/J42</f>
        <v>#DIV/0!</v>
      </c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</row>
    <row r="44" spans="1:59" s="5" customFormat="1" ht="15" x14ac:dyDescent="0.25">
      <c r="A44" s="3">
        <v>11</v>
      </c>
      <c r="B44" s="3" t="s">
        <v>13</v>
      </c>
      <c r="C44" s="3">
        <v>3</v>
      </c>
      <c r="D44" s="3">
        <v>1</v>
      </c>
      <c r="E44" s="3">
        <v>1</v>
      </c>
      <c r="F44" s="3">
        <v>0.5</v>
      </c>
      <c r="G44" s="3">
        <f t="shared" si="2"/>
        <v>-0.5</v>
      </c>
      <c r="H44" s="4">
        <f t="shared" si="3"/>
        <v>-50</v>
      </c>
      <c r="I44" s="3"/>
      <c r="J44" s="3"/>
      <c r="K44" s="3" t="e">
        <f>(F44-I42)/J42</f>
        <v>#DIV/0!</v>
      </c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</row>
    <row r="45" spans="1:59" s="5" customFormat="1" ht="15" x14ac:dyDescent="0.25">
      <c r="A45" s="3">
        <v>11</v>
      </c>
      <c r="B45" s="3" t="s">
        <v>14</v>
      </c>
      <c r="C45" s="3">
        <v>3</v>
      </c>
      <c r="D45" s="3">
        <v>2</v>
      </c>
      <c r="E45" s="3">
        <v>1</v>
      </c>
      <c r="F45" s="3">
        <v>0.5</v>
      </c>
      <c r="G45" s="3">
        <f t="shared" si="2"/>
        <v>-0.5</v>
      </c>
      <c r="H45" s="4">
        <f t="shared" si="3"/>
        <v>-50</v>
      </c>
      <c r="I45" s="3"/>
      <c r="J45" s="3"/>
      <c r="K45" s="3" t="e">
        <f>(F45-I42)/J42</f>
        <v>#DIV/0!</v>
      </c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</row>
    <row r="46" spans="1:59" ht="15" x14ac:dyDescent="0.25">
      <c r="A46" s="2">
        <v>12</v>
      </c>
      <c r="B46" s="2" t="s">
        <v>11</v>
      </c>
      <c r="C46" s="2">
        <v>3</v>
      </c>
      <c r="D46" s="2">
        <v>3</v>
      </c>
      <c r="E46" s="2">
        <v>5</v>
      </c>
      <c r="F46" s="2">
        <v>4</v>
      </c>
      <c r="G46" s="2">
        <f t="shared" si="2"/>
        <v>-1</v>
      </c>
      <c r="H46" s="6">
        <f t="shared" si="3"/>
        <v>-20</v>
      </c>
      <c r="I46" s="2">
        <f>AVERAGE(F46:F49)</f>
        <v>3.125</v>
      </c>
      <c r="J46" s="2">
        <f>_xlfn.STDEV.S(F46:F49)</f>
        <v>0.8539125638299665</v>
      </c>
      <c r="K46" s="2">
        <f>(F46-I46)/J46</f>
        <v>1.0246950765959599</v>
      </c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 ht="15" x14ac:dyDescent="0.25">
      <c r="A47" s="2">
        <v>12</v>
      </c>
      <c r="B47" s="2" t="s">
        <v>12</v>
      </c>
      <c r="C47" s="2">
        <v>3</v>
      </c>
      <c r="D47" s="2">
        <v>4</v>
      </c>
      <c r="E47" s="2">
        <v>5</v>
      </c>
      <c r="F47" s="2">
        <v>3</v>
      </c>
      <c r="G47" s="2">
        <f t="shared" si="2"/>
        <v>-2</v>
      </c>
      <c r="H47" s="6">
        <f t="shared" si="3"/>
        <v>-40</v>
      </c>
      <c r="I47" s="2"/>
      <c r="J47" s="2"/>
      <c r="K47" s="2">
        <f>(F47-I46)/J46</f>
        <v>-0.14638501094227999</v>
      </c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 ht="15" x14ac:dyDescent="0.25">
      <c r="A48" s="2">
        <v>12</v>
      </c>
      <c r="B48" s="2" t="s">
        <v>13</v>
      </c>
      <c r="C48" s="2">
        <v>3</v>
      </c>
      <c r="D48" s="2">
        <v>1</v>
      </c>
      <c r="E48" s="2">
        <v>5</v>
      </c>
      <c r="F48" s="2">
        <v>2</v>
      </c>
      <c r="G48" s="2">
        <f t="shared" si="2"/>
        <v>-3</v>
      </c>
      <c r="H48" s="6">
        <f t="shared" si="3"/>
        <v>-60</v>
      </c>
      <c r="I48" s="2"/>
      <c r="J48" s="2"/>
      <c r="K48" s="2">
        <f>(F48-I46)/J46</f>
        <v>-1.3174650984805198</v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 ht="15" x14ac:dyDescent="0.25">
      <c r="A49" s="2">
        <v>12</v>
      </c>
      <c r="B49" s="2" t="s">
        <v>14</v>
      </c>
      <c r="C49" s="2">
        <v>3</v>
      </c>
      <c r="D49" s="2">
        <v>2</v>
      </c>
      <c r="E49" s="2">
        <v>5</v>
      </c>
      <c r="F49" s="2">
        <v>3.5</v>
      </c>
      <c r="G49" s="2">
        <f t="shared" si="2"/>
        <v>-1.5</v>
      </c>
      <c r="H49" s="6">
        <f t="shared" si="3"/>
        <v>-30</v>
      </c>
      <c r="I49" s="2"/>
      <c r="J49" s="2"/>
      <c r="K49" s="2">
        <f>(F49-I46)/J46</f>
        <v>0.43915503282683993</v>
      </c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 s="5" customFormat="1" ht="15" x14ac:dyDescent="0.25">
      <c r="A50" s="3">
        <v>13</v>
      </c>
      <c r="B50" s="3" t="s">
        <v>11</v>
      </c>
      <c r="C50" s="3">
        <v>1</v>
      </c>
      <c r="D50" s="3">
        <v>1</v>
      </c>
      <c r="E50" s="3">
        <v>4.5</v>
      </c>
      <c r="F50" s="3">
        <v>3</v>
      </c>
      <c r="G50" s="3">
        <f t="shared" si="2"/>
        <v>-1.5</v>
      </c>
      <c r="H50" s="4">
        <f t="shared" si="3"/>
        <v>-33.333333333333329</v>
      </c>
      <c r="I50" s="3">
        <f>AVERAGE(F50:F53)</f>
        <v>2.75</v>
      </c>
      <c r="J50" s="3">
        <f>_xlfn.STDEV.S(F50:F53)</f>
        <v>0.5</v>
      </c>
      <c r="K50" s="3">
        <f>(F50-I50)/J50</f>
        <v>0.5</v>
      </c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</row>
    <row r="51" spans="1:59" s="5" customFormat="1" ht="15" x14ac:dyDescent="0.25">
      <c r="A51" s="3">
        <v>13</v>
      </c>
      <c r="B51" s="3" t="s">
        <v>12</v>
      </c>
      <c r="C51" s="3">
        <v>1</v>
      </c>
      <c r="D51" s="3">
        <v>2</v>
      </c>
      <c r="E51" s="3">
        <v>4.5</v>
      </c>
      <c r="F51" s="3">
        <v>3</v>
      </c>
      <c r="G51" s="3">
        <f t="shared" si="2"/>
        <v>-1.5</v>
      </c>
      <c r="H51" s="4">
        <f t="shared" si="3"/>
        <v>-33.333333333333329</v>
      </c>
      <c r="I51" s="3"/>
      <c r="J51" s="3"/>
      <c r="K51" s="3">
        <f>(F51-I50)/J50</f>
        <v>0.5</v>
      </c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</row>
    <row r="52" spans="1:59" s="5" customFormat="1" ht="15" x14ac:dyDescent="0.25">
      <c r="A52" s="3">
        <v>13</v>
      </c>
      <c r="B52" s="3" t="s">
        <v>13</v>
      </c>
      <c r="C52" s="3">
        <v>1</v>
      </c>
      <c r="D52" s="3">
        <v>3</v>
      </c>
      <c r="E52" s="3">
        <v>4.5</v>
      </c>
      <c r="F52" s="3">
        <v>2</v>
      </c>
      <c r="G52" s="3">
        <f t="shared" si="2"/>
        <v>-2.5</v>
      </c>
      <c r="H52" s="4">
        <f t="shared" si="3"/>
        <v>-55.555555555555557</v>
      </c>
      <c r="I52" s="3"/>
      <c r="J52" s="3"/>
      <c r="K52" s="3">
        <f>(F52-I50)/J50</f>
        <v>-1.5</v>
      </c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</row>
    <row r="53" spans="1:59" s="5" customFormat="1" ht="15" x14ac:dyDescent="0.25">
      <c r="A53" s="3">
        <v>13</v>
      </c>
      <c r="B53" s="3" t="s">
        <v>14</v>
      </c>
      <c r="C53" s="3">
        <v>1</v>
      </c>
      <c r="D53" s="3">
        <v>4</v>
      </c>
      <c r="E53" s="3">
        <v>4.5</v>
      </c>
      <c r="F53" s="3">
        <v>3</v>
      </c>
      <c r="G53" s="3">
        <f t="shared" si="2"/>
        <v>-1.5</v>
      </c>
      <c r="H53" s="4">
        <f t="shared" si="3"/>
        <v>-33.333333333333329</v>
      </c>
      <c r="I53" s="3"/>
      <c r="J53" s="3"/>
      <c r="K53" s="3">
        <f>(F53-I50)/J50</f>
        <v>0.5</v>
      </c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</row>
    <row r="54" spans="1:59" ht="15" x14ac:dyDescent="0.25">
      <c r="A54" s="2">
        <v>14</v>
      </c>
      <c r="B54" s="2" t="s">
        <v>11</v>
      </c>
      <c r="C54" s="2">
        <v>3</v>
      </c>
      <c r="D54" s="2">
        <v>3</v>
      </c>
      <c r="E54" s="2">
        <v>1.3</v>
      </c>
      <c r="F54" s="2">
        <v>1.3</v>
      </c>
      <c r="G54" s="2">
        <f t="shared" si="2"/>
        <v>0</v>
      </c>
      <c r="H54" s="6">
        <f t="shared" si="3"/>
        <v>0</v>
      </c>
      <c r="I54" s="2">
        <f>AVERAGE(F54:F57)</f>
        <v>0.85</v>
      </c>
      <c r="J54" s="2">
        <f>_xlfn.STDEV.S(F54:F57)</f>
        <v>0.38729833462074198</v>
      </c>
      <c r="K54" s="2">
        <f>(F54-I54)/J54</f>
        <v>1.1618950038622244</v>
      </c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 ht="15" x14ac:dyDescent="0.25">
      <c r="A55" s="2">
        <v>14</v>
      </c>
      <c r="B55" s="2" t="s">
        <v>12</v>
      </c>
      <c r="C55" s="2">
        <v>3</v>
      </c>
      <c r="D55" s="2">
        <v>4</v>
      </c>
      <c r="E55" s="2">
        <v>1.3</v>
      </c>
      <c r="F55" s="2">
        <v>1</v>
      </c>
      <c r="G55" s="2">
        <f t="shared" si="2"/>
        <v>-0.30000000000000004</v>
      </c>
      <c r="H55" s="6">
        <f t="shared" si="3"/>
        <v>-23.076923076923077</v>
      </c>
      <c r="I55" s="2"/>
      <c r="J55" s="2"/>
      <c r="K55" s="2">
        <f>(F55-I54)/J54</f>
        <v>0.38729833462074148</v>
      </c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 ht="15" x14ac:dyDescent="0.25">
      <c r="A56" s="2">
        <v>14</v>
      </c>
      <c r="B56" s="2" t="s">
        <v>13</v>
      </c>
      <c r="C56" s="2">
        <v>3</v>
      </c>
      <c r="D56" s="2">
        <v>1</v>
      </c>
      <c r="E56" s="2">
        <v>1.3</v>
      </c>
      <c r="F56" s="2">
        <v>0.7</v>
      </c>
      <c r="G56" s="2">
        <f t="shared" si="2"/>
        <v>-0.60000000000000009</v>
      </c>
      <c r="H56" s="6">
        <f t="shared" si="3"/>
        <v>-46.153846153846153</v>
      </c>
      <c r="I56" s="2"/>
      <c r="J56" s="2"/>
      <c r="K56" s="2">
        <f>(F56-I54)/J54</f>
        <v>-0.38729833462074148</v>
      </c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 ht="15" x14ac:dyDescent="0.25">
      <c r="A57" s="2">
        <v>14</v>
      </c>
      <c r="B57" s="2" t="s">
        <v>14</v>
      </c>
      <c r="C57" s="2">
        <v>3</v>
      </c>
      <c r="D57" s="2">
        <v>2</v>
      </c>
      <c r="E57" s="2">
        <v>1.3</v>
      </c>
      <c r="F57" s="2">
        <v>0.4</v>
      </c>
      <c r="G57" s="2">
        <f t="shared" si="2"/>
        <v>-0.9</v>
      </c>
      <c r="H57" s="6">
        <f t="shared" si="3"/>
        <v>-69.230769230769226</v>
      </c>
      <c r="I57" s="2"/>
      <c r="J57" s="2"/>
      <c r="K57" s="2">
        <f>(F57-I54)/J54</f>
        <v>-1.161895003862224</v>
      </c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 ht="15" x14ac:dyDescent="0.25">
      <c r="A58" s="3">
        <v>15</v>
      </c>
      <c r="B58" s="3" t="s">
        <v>11</v>
      </c>
      <c r="C58" s="3">
        <v>1</v>
      </c>
      <c r="D58" s="3">
        <v>1</v>
      </c>
      <c r="E58" s="3">
        <v>1.3</v>
      </c>
      <c r="F58" s="3">
        <v>0.4</v>
      </c>
      <c r="G58" s="3">
        <f t="shared" si="2"/>
        <v>-0.9</v>
      </c>
      <c r="H58" s="4">
        <f t="shared" si="3"/>
        <v>-69.230769230769226</v>
      </c>
      <c r="I58" s="3">
        <f>AVERAGE(F58:F61)</f>
        <v>0.85000000000000009</v>
      </c>
      <c r="J58" s="3">
        <f>_xlfn.STDEV.S(F58:F61)</f>
        <v>0.34156502553198642</v>
      </c>
      <c r="K58" s="3">
        <f>(F58-I58)/J58</f>
        <v>-1.3174650984805207</v>
      </c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</row>
    <row r="59" spans="1:59" ht="15" x14ac:dyDescent="0.25">
      <c r="A59" s="3">
        <v>15</v>
      </c>
      <c r="B59" s="3" t="s">
        <v>12</v>
      </c>
      <c r="C59" s="3">
        <v>1</v>
      </c>
      <c r="D59" s="3">
        <v>2</v>
      </c>
      <c r="E59" s="3">
        <v>1.3</v>
      </c>
      <c r="F59" s="3">
        <v>1.2</v>
      </c>
      <c r="G59" s="3">
        <f t="shared" si="2"/>
        <v>-0.10000000000000009</v>
      </c>
      <c r="H59" s="4">
        <f t="shared" si="3"/>
        <v>-7.6923076923076987</v>
      </c>
      <c r="I59" s="3"/>
      <c r="J59" s="3"/>
      <c r="K59" s="3">
        <f>(F59-I58)/J58</f>
        <v>1.0246950765959599</v>
      </c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</row>
    <row r="60" spans="1:59" ht="15" x14ac:dyDescent="0.25">
      <c r="A60" s="3">
        <v>15</v>
      </c>
      <c r="B60" s="3" t="s">
        <v>13</v>
      </c>
      <c r="C60" s="3">
        <v>1</v>
      </c>
      <c r="D60" s="3">
        <v>3</v>
      </c>
      <c r="E60" s="3">
        <v>1.3</v>
      </c>
      <c r="F60" s="3">
        <v>1</v>
      </c>
      <c r="G60" s="3">
        <f t="shared" si="2"/>
        <v>-0.30000000000000004</v>
      </c>
      <c r="H60" s="4">
        <f t="shared" si="3"/>
        <v>-23.076923076923077</v>
      </c>
      <c r="I60" s="3"/>
      <c r="J60" s="3"/>
      <c r="K60" s="3">
        <f>(F60-I58)/J58</f>
        <v>0.43915503282683993</v>
      </c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</row>
    <row r="61" spans="1:59" ht="15" x14ac:dyDescent="0.25">
      <c r="A61" s="3">
        <v>15</v>
      </c>
      <c r="B61" s="3" t="s">
        <v>14</v>
      </c>
      <c r="C61" s="3">
        <v>1</v>
      </c>
      <c r="D61" s="3">
        <v>4</v>
      </c>
      <c r="E61" s="3">
        <v>1.3</v>
      </c>
      <c r="F61" s="3">
        <v>0.8</v>
      </c>
      <c r="G61" s="3">
        <f t="shared" si="2"/>
        <v>-0.5</v>
      </c>
      <c r="H61" s="4">
        <f t="shared" si="3"/>
        <v>-38.46153846153846</v>
      </c>
      <c r="I61" s="3"/>
      <c r="J61" s="3"/>
      <c r="K61" s="3">
        <f>(F61-I58)/J58</f>
        <v>-0.14638501094228018</v>
      </c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</row>
    <row r="62" spans="1:59" ht="15" x14ac:dyDescent="0.25">
      <c r="A62" s="2">
        <v>16</v>
      </c>
      <c r="B62" s="2" t="s">
        <v>11</v>
      </c>
      <c r="C62" s="2">
        <v>2</v>
      </c>
      <c r="D62" s="2">
        <v>2</v>
      </c>
      <c r="E62" s="2">
        <v>4</v>
      </c>
      <c r="F62" s="2">
        <v>1.5</v>
      </c>
      <c r="G62" s="2">
        <f t="shared" si="2"/>
        <v>-2.5</v>
      </c>
      <c r="H62" s="6">
        <f t="shared" si="3"/>
        <v>-62.5</v>
      </c>
      <c r="I62" s="2">
        <f>AVERAGE(F62:F65)</f>
        <v>1.425</v>
      </c>
      <c r="J62" s="2">
        <f>_xlfn.STDEV.S(F62:F65)</f>
        <v>0.43493294502332924</v>
      </c>
      <c r="K62" s="2">
        <f>(F62-I62)/J62</f>
        <v>0.1724403746788532</v>
      </c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 ht="15" x14ac:dyDescent="0.25">
      <c r="A63" s="2">
        <v>16</v>
      </c>
      <c r="B63" s="2" t="s">
        <v>12</v>
      </c>
      <c r="C63" s="2">
        <v>2</v>
      </c>
      <c r="D63" s="2">
        <v>1</v>
      </c>
      <c r="E63" s="2">
        <v>4</v>
      </c>
      <c r="F63" s="2">
        <v>2</v>
      </c>
      <c r="G63" s="2">
        <f t="shared" si="2"/>
        <v>-2</v>
      </c>
      <c r="H63" s="6">
        <f t="shared" si="3"/>
        <v>-50</v>
      </c>
      <c r="I63" s="2"/>
      <c r="J63" s="2"/>
      <c r="K63" s="2">
        <f>(F63-I62)/J62</f>
        <v>1.3220428725378752</v>
      </c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 ht="15" x14ac:dyDescent="0.25">
      <c r="A64" s="2">
        <v>16</v>
      </c>
      <c r="B64" s="2" t="s">
        <v>13</v>
      </c>
      <c r="C64" s="2">
        <v>2</v>
      </c>
      <c r="D64" s="2">
        <v>4</v>
      </c>
      <c r="E64" s="2">
        <v>4</v>
      </c>
      <c r="F64" s="2">
        <v>1.2</v>
      </c>
      <c r="G64" s="2">
        <f t="shared" si="2"/>
        <v>-2.8</v>
      </c>
      <c r="H64" s="6">
        <f t="shared" si="3"/>
        <v>-70</v>
      </c>
      <c r="I64" s="2"/>
      <c r="J64" s="2"/>
      <c r="K64" s="2">
        <f>(F64-I62)/J62</f>
        <v>-0.51732112403656016</v>
      </c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 ht="15" x14ac:dyDescent="0.25">
      <c r="A65" s="2">
        <v>16</v>
      </c>
      <c r="B65" s="2" t="s">
        <v>14</v>
      </c>
      <c r="C65" s="2">
        <v>2</v>
      </c>
      <c r="D65" s="2">
        <v>3</v>
      </c>
      <c r="E65" s="2">
        <v>4</v>
      </c>
      <c r="F65" s="2">
        <v>1</v>
      </c>
      <c r="G65" s="2">
        <f t="shared" si="2"/>
        <v>-3</v>
      </c>
      <c r="H65" s="6">
        <f t="shared" si="3"/>
        <v>-75</v>
      </c>
      <c r="I65" s="2"/>
      <c r="J65" s="2"/>
      <c r="K65" s="2">
        <f>(F65-I62)/J62</f>
        <v>-0.97716212318016882</v>
      </c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 ht="15" x14ac:dyDescent="0.25">
      <c r="A66" s="3">
        <v>17</v>
      </c>
      <c r="B66" s="3" t="s">
        <v>11</v>
      </c>
      <c r="C66" s="3">
        <v>4</v>
      </c>
      <c r="D66" s="3">
        <v>4</v>
      </c>
      <c r="E66" s="3">
        <v>4</v>
      </c>
      <c r="F66" s="3">
        <v>1</v>
      </c>
      <c r="G66" s="3">
        <f t="shared" ref="G66:G97" si="4">F66-E66</f>
        <v>-3</v>
      </c>
      <c r="H66" s="4">
        <f t="shared" ref="H66:H97" si="5">(G66/E66)*100</f>
        <v>-75</v>
      </c>
      <c r="I66" s="3">
        <f>AVERAGE(F66:F69)</f>
        <v>0.25</v>
      </c>
      <c r="J66" s="3">
        <f>_xlfn.STDEV.S(F66:F69)</f>
        <v>0.5</v>
      </c>
      <c r="K66" s="3">
        <f>(F66-I66)/J66</f>
        <v>1.5</v>
      </c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</row>
    <row r="67" spans="1:59" ht="15" x14ac:dyDescent="0.25">
      <c r="A67" s="3">
        <v>17</v>
      </c>
      <c r="B67" s="3" t="s">
        <v>12</v>
      </c>
      <c r="C67" s="3">
        <v>4</v>
      </c>
      <c r="D67" s="3">
        <v>3</v>
      </c>
      <c r="E67" s="3">
        <v>4</v>
      </c>
      <c r="F67" s="3">
        <v>0</v>
      </c>
      <c r="G67" s="3">
        <f t="shared" si="4"/>
        <v>-4</v>
      </c>
      <c r="H67" s="4">
        <f t="shared" si="5"/>
        <v>-100</v>
      </c>
      <c r="I67" s="3"/>
      <c r="J67" s="3"/>
      <c r="K67" s="3">
        <f>(F67-I66)/J66</f>
        <v>-0.5</v>
      </c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</row>
    <row r="68" spans="1:59" ht="15" x14ac:dyDescent="0.25">
      <c r="A68" s="3">
        <v>17</v>
      </c>
      <c r="B68" s="3" t="s">
        <v>13</v>
      </c>
      <c r="C68" s="3">
        <v>4</v>
      </c>
      <c r="D68" s="3">
        <v>2</v>
      </c>
      <c r="E68" s="3">
        <v>4</v>
      </c>
      <c r="F68" s="3">
        <v>0</v>
      </c>
      <c r="G68" s="3">
        <f t="shared" si="4"/>
        <v>-4</v>
      </c>
      <c r="H68" s="4">
        <f t="shared" si="5"/>
        <v>-100</v>
      </c>
      <c r="I68" s="3"/>
      <c r="J68" s="3"/>
      <c r="K68" s="3">
        <f>(F68-I66)/J66</f>
        <v>-0.5</v>
      </c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</row>
    <row r="69" spans="1:59" ht="15" x14ac:dyDescent="0.25">
      <c r="A69" s="3">
        <v>17</v>
      </c>
      <c r="B69" s="3" t="s">
        <v>14</v>
      </c>
      <c r="C69" s="3">
        <v>4</v>
      </c>
      <c r="D69" s="3">
        <v>1</v>
      </c>
      <c r="E69" s="3">
        <v>4</v>
      </c>
      <c r="F69" s="3">
        <v>0</v>
      </c>
      <c r="G69" s="3">
        <f t="shared" si="4"/>
        <v>-4</v>
      </c>
      <c r="H69" s="4">
        <f t="shared" si="5"/>
        <v>-100</v>
      </c>
      <c r="I69" s="3"/>
      <c r="J69" s="3"/>
      <c r="K69" s="3">
        <f>(F69-I66)/J66</f>
        <v>-0.5</v>
      </c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</row>
    <row r="70" spans="1:59" ht="15" x14ac:dyDescent="0.25">
      <c r="A70" s="2">
        <v>18</v>
      </c>
      <c r="B70" s="2" t="s">
        <v>11</v>
      </c>
      <c r="C70" s="2">
        <v>3</v>
      </c>
      <c r="D70" s="2">
        <v>3</v>
      </c>
      <c r="E70" s="2">
        <v>4</v>
      </c>
      <c r="F70" s="2">
        <v>3</v>
      </c>
      <c r="G70" s="2">
        <f t="shared" si="4"/>
        <v>-1</v>
      </c>
      <c r="H70" s="6">
        <f t="shared" si="5"/>
        <v>-25</v>
      </c>
      <c r="I70" s="2">
        <f>AVERAGE(F70:F73)</f>
        <v>2.6875</v>
      </c>
      <c r="J70" s="2">
        <f>_xlfn.STDEV.S(F70:F73)</f>
        <v>0.4732423621500228</v>
      </c>
      <c r="K70" s="2">
        <f>(F70-I70)/J70</f>
        <v>0.66033817974421782</v>
      </c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 ht="15" x14ac:dyDescent="0.25">
      <c r="A71" s="2">
        <v>18</v>
      </c>
      <c r="B71" s="2" t="s">
        <v>12</v>
      </c>
      <c r="C71" s="2">
        <v>3</v>
      </c>
      <c r="D71" s="2">
        <v>4</v>
      </c>
      <c r="E71" s="2">
        <v>4</v>
      </c>
      <c r="F71" s="2">
        <v>3</v>
      </c>
      <c r="G71" s="2">
        <f t="shared" si="4"/>
        <v>-1</v>
      </c>
      <c r="H71" s="6">
        <f t="shared" si="5"/>
        <v>-25</v>
      </c>
      <c r="I71" s="2"/>
      <c r="J71" s="2"/>
      <c r="K71" s="2">
        <f>(F71-I70)/J70</f>
        <v>0.66033817974421782</v>
      </c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 ht="15" x14ac:dyDescent="0.25">
      <c r="A72" s="2">
        <v>18</v>
      </c>
      <c r="B72" s="2" t="s">
        <v>13</v>
      </c>
      <c r="C72" s="2">
        <v>3</v>
      </c>
      <c r="D72" s="2">
        <v>1</v>
      </c>
      <c r="E72" s="2">
        <v>4</v>
      </c>
      <c r="F72" s="2">
        <v>2.75</v>
      </c>
      <c r="G72" s="2">
        <f t="shared" si="4"/>
        <v>-1.25</v>
      </c>
      <c r="H72" s="6">
        <f t="shared" si="5"/>
        <v>-31.25</v>
      </c>
      <c r="I72" s="2"/>
      <c r="J72" s="2"/>
      <c r="K72" s="2">
        <f>(F72-I70)/J70</f>
        <v>0.13206763594884358</v>
      </c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 ht="15" x14ac:dyDescent="0.25">
      <c r="A73" s="2">
        <v>18</v>
      </c>
      <c r="B73" s="2" t="s">
        <v>14</v>
      </c>
      <c r="C73" s="2">
        <v>3</v>
      </c>
      <c r="D73" s="2">
        <v>2</v>
      </c>
      <c r="E73" s="2">
        <v>4</v>
      </c>
      <c r="F73" s="2">
        <v>2</v>
      </c>
      <c r="G73" s="2">
        <f t="shared" si="4"/>
        <v>-2</v>
      </c>
      <c r="H73" s="6">
        <f t="shared" si="5"/>
        <v>-50</v>
      </c>
      <c r="I73" s="2"/>
      <c r="J73" s="2"/>
      <c r="K73" s="2">
        <f>(F73-I70)/J70</f>
        <v>-1.4527439954372794</v>
      </c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 ht="15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 ht="15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 ht="15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 ht="15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 ht="15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 ht="15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 ht="15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 ht="15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 ht="15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 ht="15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</row>
    <row r="84" spans="1:59" ht="15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 ht="15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 ht="15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 ht="15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 ht="15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 ht="15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 ht="15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 ht="15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 ht="15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 ht="15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 ht="15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 ht="15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 ht="15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 ht="15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 ht="15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</row>
    <row r="99" spans="1:59" ht="15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 ht="15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 ht="15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 ht="15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 ht="15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 ht="15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 ht="15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 ht="15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 ht="15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 ht="15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 ht="15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 ht="15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 ht="15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 ht="15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 ht="15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</row>
    <row r="114" spans="1:59" ht="15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 ht="15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 ht="15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 ht="15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 ht="15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 ht="15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 ht="15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 ht="15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 ht="15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 ht="15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 ht="15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 ht="15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 ht="15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 ht="15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 ht="15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</row>
    <row r="129" spans="1:59" ht="15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 ht="15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 ht="15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 ht="15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 ht="15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 ht="15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 ht="15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 ht="15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 ht="15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 ht="15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 ht="15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 ht="15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 ht="15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 ht="15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 ht="15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 ht="15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 ht="15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 ht="15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 ht="15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 ht="15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 ht="15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 ht="15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 ht="15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 ht="15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 ht="15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 ht="15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 ht="15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 ht="15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 ht="15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 ht="15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 ht="15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 ht="15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 ht="15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 ht="15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 ht="15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 ht="15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 ht="15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 ht="15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 ht="15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 ht="15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 ht="15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 ht="15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 ht="15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 ht="15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 ht="15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 ht="15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 ht="15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 ht="15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 ht="15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 ht="15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 ht="15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 ht="15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 ht="15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 ht="15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 ht="15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 ht="15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 ht="15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 ht="15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 ht="15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 ht="15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 ht="15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 ht="15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 ht="15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 ht="15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 ht="15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 ht="15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 ht="15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 ht="15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 ht="15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 ht="15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 ht="15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 ht="15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 ht="15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</row>
    <row r="202" spans="1:59" ht="15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 ht="15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 ht="15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 ht="15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 ht="15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 ht="15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 ht="15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 ht="15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 ht="15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 ht="15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 ht="15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 ht="15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 ht="15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 ht="15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 ht="15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</row>
    <row r="217" spans="1:59" ht="15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</row>
    <row r="218" spans="1:59" ht="15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</row>
    <row r="219" spans="1:59" ht="15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</row>
    <row r="220" spans="1:59" ht="15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</row>
    <row r="221" spans="1:59" ht="15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</row>
    <row r="222" spans="1:59" ht="15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</row>
    <row r="223" spans="1:59" ht="15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</row>
    <row r="224" spans="1:59" ht="15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</row>
    <row r="225" spans="1:59" ht="15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</row>
    <row r="226" spans="1:59" ht="15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</row>
    <row r="227" spans="1:59" ht="15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</row>
    <row r="228" spans="1:59" ht="15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</row>
    <row r="229" spans="1:59" ht="15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</row>
    <row r="230" spans="1:59" ht="15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</row>
    <row r="231" spans="1:59" ht="15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</row>
    <row r="232" spans="1:59" ht="15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</row>
    <row r="233" spans="1:59" ht="15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</row>
    <row r="234" spans="1:59" ht="15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</row>
    <row r="235" spans="1:59" ht="15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</row>
    <row r="236" spans="1:59" ht="15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</row>
    <row r="237" spans="1:59" ht="15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</row>
    <row r="238" spans="1:59" ht="15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 ht="15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 ht="15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 ht="15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 ht="15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 ht="15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 ht="15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</row>
    <row r="245" spans="1:59" ht="15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 ht="15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 ht="15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 ht="15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 ht="15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 ht="15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 ht="15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 ht="15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 ht="15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 ht="15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 ht="15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 ht="15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 ht="15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 ht="15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 ht="15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</row>
    <row r="260" spans="1:59" ht="15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 ht="15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 ht="15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 ht="15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 ht="15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 ht="15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 ht="15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 ht="15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 ht="15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 ht="15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 ht="15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 ht="15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 ht="15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 ht="15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 ht="15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 ht="15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 ht="15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 ht="15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 ht="15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 ht="15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 ht="15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 ht="15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 ht="15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 ht="15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 ht="15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 ht="15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 ht="15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 ht="15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 ht="15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 ht="15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 ht="15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 ht="15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 ht="15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 ht="15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 ht="15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 ht="15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 ht="15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 ht="15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 ht="15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 ht="15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 ht="15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 ht="15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 ht="15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 ht="15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 ht="15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 ht="15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 ht="15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 ht="15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 ht="15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 ht="15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 ht="15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 ht="15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 ht="15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 ht="15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 ht="15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 ht="15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 ht="15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 ht="15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 ht="15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 ht="15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 ht="15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 ht="15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 ht="15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</row>
    <row r="323" spans="1:59" ht="15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 ht="15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 ht="15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 ht="15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 ht="15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 ht="15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</row>
    <row r="329" spans="1:59" ht="15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</row>
    <row r="330" spans="1:59" ht="15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</row>
    <row r="331" spans="1:59" ht="15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</row>
    <row r="332" spans="1:59" ht="15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 ht="15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 ht="15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 ht="15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 ht="15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 ht="15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</row>
    <row r="338" spans="1:59" ht="15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 ht="15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 ht="15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 ht="15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 ht="15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</row>
  </sheetData>
  <conditionalFormatting sqref="H2:H73">
    <cfRule type="colorScale" priority="2">
      <colorScale>
        <cfvo type="min"/>
        <cfvo type="num" val="0"/>
        <cfvo type="max"/>
        <color rgb="FF00B050"/>
        <color rgb="FFFFEB84"/>
        <color rgb="FFFF0000"/>
      </colorScale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73"/>
  <sheetViews>
    <sheetView zoomScale="95" zoomScaleNormal="95" workbookViewId="0">
      <selection activeCell="AA1" sqref="AA1"/>
    </sheetView>
  </sheetViews>
  <sheetFormatPr defaultColWidth="8.28515625" defaultRowHeight="14.25" customHeight="1" x14ac:dyDescent="0.25"/>
  <cols>
    <col min="27" max="27" width="14.5703125" customWidth="1"/>
  </cols>
  <sheetData>
    <row r="1" spans="1:27" x14ac:dyDescent="0.25">
      <c r="A1" s="8" t="s">
        <v>0</v>
      </c>
      <c r="B1" s="8" t="s">
        <v>1</v>
      </c>
      <c r="C1" s="8" t="s">
        <v>2</v>
      </c>
      <c r="D1" s="8" t="s">
        <v>3</v>
      </c>
      <c r="E1" s="9" t="s">
        <v>17</v>
      </c>
      <c r="F1" s="9" t="s">
        <v>18</v>
      </c>
      <c r="G1" s="9" t="s">
        <v>19</v>
      </c>
      <c r="H1" s="9" t="s">
        <v>20</v>
      </c>
      <c r="I1" s="9" t="s">
        <v>21</v>
      </c>
      <c r="J1" s="9" t="s">
        <v>22</v>
      </c>
      <c r="K1" s="9" t="s">
        <v>23</v>
      </c>
      <c r="L1" s="9" t="s">
        <v>24</v>
      </c>
      <c r="M1" s="9" t="s">
        <v>25</v>
      </c>
      <c r="N1" s="9" t="s">
        <v>26</v>
      </c>
      <c r="O1" s="9" t="s">
        <v>27</v>
      </c>
      <c r="P1" s="9" t="s">
        <v>28</v>
      </c>
      <c r="Q1" s="9" t="s">
        <v>29</v>
      </c>
      <c r="R1" s="9" t="s">
        <v>30</v>
      </c>
      <c r="S1" s="9" t="s">
        <v>31</v>
      </c>
      <c r="T1" s="9" t="s">
        <v>32</v>
      </c>
      <c r="U1" s="9" t="s">
        <v>33</v>
      </c>
      <c r="V1" s="9" t="s">
        <v>34</v>
      </c>
      <c r="W1" s="9" t="s">
        <v>35</v>
      </c>
      <c r="X1" s="9" t="s">
        <v>36</v>
      </c>
      <c r="Y1" s="9" t="s">
        <v>37</v>
      </c>
      <c r="Z1" s="9" t="s">
        <v>38</v>
      </c>
      <c r="AA1" s="10" t="s">
        <v>39</v>
      </c>
    </row>
    <row r="2" spans="1:27" x14ac:dyDescent="0.25">
      <c r="A2" s="11">
        <v>1</v>
      </c>
      <c r="B2" s="11" t="s">
        <v>11</v>
      </c>
      <c r="C2" s="11">
        <v>2</v>
      </c>
      <c r="D2" s="11">
        <v>2</v>
      </c>
      <c r="E2" s="12">
        <v>6</v>
      </c>
      <c r="F2" s="12">
        <v>6</v>
      </c>
      <c r="G2" s="12">
        <v>6</v>
      </c>
      <c r="H2" s="12">
        <v>7</v>
      </c>
      <c r="I2" s="12">
        <v>4</v>
      </c>
      <c r="J2" s="12">
        <v>7</v>
      </c>
      <c r="K2" s="12">
        <v>6</v>
      </c>
      <c r="L2" s="12">
        <v>6</v>
      </c>
      <c r="M2" s="12">
        <v>7</v>
      </c>
      <c r="N2" s="12">
        <v>4</v>
      </c>
      <c r="O2" s="12">
        <v>6</v>
      </c>
      <c r="P2" s="12">
        <v>5</v>
      </c>
      <c r="Q2" s="12">
        <v>6</v>
      </c>
      <c r="R2" s="12">
        <v>2</v>
      </c>
      <c r="S2" s="12">
        <v>6</v>
      </c>
      <c r="T2" s="12">
        <v>5</v>
      </c>
      <c r="U2" s="12">
        <v>5</v>
      </c>
      <c r="V2" s="12">
        <v>1</v>
      </c>
      <c r="W2" s="12">
        <v>7</v>
      </c>
      <c r="X2" s="12">
        <v>1</v>
      </c>
      <c r="Y2" s="12">
        <v>7</v>
      </c>
      <c r="Z2" s="12">
        <v>6</v>
      </c>
      <c r="AA2" s="13">
        <v>5.8947368420000004</v>
      </c>
    </row>
    <row r="3" spans="1:27" x14ac:dyDescent="0.25">
      <c r="A3" s="11">
        <v>1</v>
      </c>
      <c r="B3" s="11" t="s">
        <v>12</v>
      </c>
      <c r="C3" s="11">
        <v>2</v>
      </c>
      <c r="D3" s="11">
        <v>1</v>
      </c>
      <c r="E3" s="12">
        <v>6</v>
      </c>
      <c r="F3" s="12">
        <v>7</v>
      </c>
      <c r="G3" s="12">
        <v>6</v>
      </c>
      <c r="H3" s="12">
        <v>6</v>
      </c>
      <c r="I3" s="12">
        <v>4</v>
      </c>
      <c r="J3" s="12">
        <v>6</v>
      </c>
      <c r="K3" s="12">
        <v>6</v>
      </c>
      <c r="L3" s="12">
        <v>6</v>
      </c>
      <c r="M3" s="12">
        <v>6</v>
      </c>
      <c r="N3" s="12">
        <v>5</v>
      </c>
      <c r="O3" s="12">
        <v>4</v>
      </c>
      <c r="P3" s="12">
        <v>5</v>
      </c>
      <c r="Q3" s="12">
        <v>7</v>
      </c>
      <c r="R3" s="12">
        <v>1</v>
      </c>
      <c r="S3" s="12">
        <v>7</v>
      </c>
      <c r="T3" s="12">
        <v>7</v>
      </c>
      <c r="U3" s="12">
        <v>7</v>
      </c>
      <c r="V3" s="12">
        <v>1</v>
      </c>
      <c r="W3" s="12">
        <v>7</v>
      </c>
      <c r="X3" s="12">
        <v>8</v>
      </c>
      <c r="Y3" s="12">
        <v>0</v>
      </c>
      <c r="Z3" s="12">
        <v>4</v>
      </c>
      <c r="AA3" s="13">
        <v>5.5789473679999997</v>
      </c>
    </row>
    <row r="4" spans="1:27" x14ac:dyDescent="0.25">
      <c r="A4" s="11">
        <v>1</v>
      </c>
      <c r="B4" s="11" t="s">
        <v>13</v>
      </c>
      <c r="C4" s="11">
        <v>2</v>
      </c>
      <c r="D4" s="11">
        <v>4</v>
      </c>
      <c r="E4" s="12">
        <v>6</v>
      </c>
      <c r="F4" s="12">
        <v>7</v>
      </c>
      <c r="G4" s="12">
        <v>6</v>
      </c>
      <c r="H4" s="12">
        <v>7</v>
      </c>
      <c r="I4" s="12">
        <v>4</v>
      </c>
      <c r="J4" s="12">
        <v>6</v>
      </c>
      <c r="K4" s="12">
        <v>6</v>
      </c>
      <c r="L4" s="12">
        <v>6</v>
      </c>
      <c r="M4" s="12">
        <v>6</v>
      </c>
      <c r="N4" s="12">
        <v>4</v>
      </c>
      <c r="O4" s="12">
        <v>4</v>
      </c>
      <c r="P4" s="12">
        <v>5</v>
      </c>
      <c r="Q4" s="12">
        <v>6</v>
      </c>
      <c r="R4" s="12">
        <v>1</v>
      </c>
      <c r="S4" s="12">
        <v>7</v>
      </c>
      <c r="T4" s="12">
        <v>7</v>
      </c>
      <c r="U4" s="12">
        <v>6</v>
      </c>
      <c r="V4" s="12">
        <v>1</v>
      </c>
      <c r="W4" s="12">
        <v>7</v>
      </c>
      <c r="X4" s="12">
        <v>1</v>
      </c>
      <c r="Y4" s="12">
        <v>7</v>
      </c>
      <c r="Z4" s="12">
        <v>6</v>
      </c>
      <c r="AA4" s="13">
        <v>5.9473684210000002</v>
      </c>
    </row>
    <row r="5" spans="1:27" x14ac:dyDescent="0.25">
      <c r="A5" s="11">
        <v>1</v>
      </c>
      <c r="B5" s="11" t="s">
        <v>14</v>
      </c>
      <c r="C5" s="11">
        <v>2</v>
      </c>
      <c r="D5" s="11">
        <v>3</v>
      </c>
      <c r="E5" s="12">
        <v>6</v>
      </c>
      <c r="F5" s="12">
        <v>7</v>
      </c>
      <c r="G5" s="12">
        <v>6</v>
      </c>
      <c r="H5" s="12">
        <v>6</v>
      </c>
      <c r="I5" s="12">
        <v>4</v>
      </c>
      <c r="J5" s="12">
        <v>6</v>
      </c>
      <c r="K5" s="12">
        <v>6</v>
      </c>
      <c r="L5" s="12">
        <v>7</v>
      </c>
      <c r="M5" s="12">
        <v>7</v>
      </c>
      <c r="N5" s="12">
        <v>4</v>
      </c>
      <c r="O5" s="12">
        <v>6</v>
      </c>
      <c r="P5" s="12">
        <v>4</v>
      </c>
      <c r="Q5" s="12">
        <v>7</v>
      </c>
      <c r="R5" s="12">
        <v>1</v>
      </c>
      <c r="S5" s="12">
        <v>7</v>
      </c>
      <c r="T5" s="12">
        <v>7</v>
      </c>
      <c r="U5" s="12">
        <v>6</v>
      </c>
      <c r="V5" s="12">
        <v>1</v>
      </c>
      <c r="W5" s="12">
        <v>7</v>
      </c>
      <c r="X5" s="12">
        <v>1</v>
      </c>
      <c r="Y5" s="12">
        <v>7</v>
      </c>
      <c r="Z5" s="12">
        <v>6</v>
      </c>
      <c r="AA5" s="13">
        <v>6.1052631579999996</v>
      </c>
    </row>
    <row r="6" spans="1:27" x14ac:dyDescent="0.25">
      <c r="A6" s="14">
        <v>2</v>
      </c>
      <c r="B6" s="14" t="s">
        <v>11</v>
      </c>
      <c r="C6" s="14">
        <v>1</v>
      </c>
      <c r="D6" s="14">
        <v>1</v>
      </c>
      <c r="E6" s="15">
        <v>7</v>
      </c>
      <c r="F6" s="15">
        <v>7</v>
      </c>
      <c r="G6" s="15">
        <v>6</v>
      </c>
      <c r="H6" s="15">
        <v>6</v>
      </c>
      <c r="I6" s="15">
        <v>6</v>
      </c>
      <c r="J6" s="15">
        <v>5</v>
      </c>
      <c r="K6" s="15">
        <v>6</v>
      </c>
      <c r="L6" s="15">
        <v>6</v>
      </c>
      <c r="M6" s="15">
        <v>6</v>
      </c>
      <c r="N6" s="15">
        <v>6</v>
      </c>
      <c r="O6" s="15">
        <v>5</v>
      </c>
      <c r="P6" s="15">
        <v>4</v>
      </c>
      <c r="Q6" s="15">
        <v>5</v>
      </c>
      <c r="R6" s="15">
        <v>2</v>
      </c>
      <c r="S6" s="15">
        <v>6</v>
      </c>
      <c r="T6" s="15">
        <v>7</v>
      </c>
      <c r="U6" s="15">
        <v>7</v>
      </c>
      <c r="V6" s="15">
        <v>1</v>
      </c>
      <c r="W6" s="15">
        <v>7</v>
      </c>
      <c r="X6" s="15">
        <v>1</v>
      </c>
      <c r="Y6" s="15">
        <v>7</v>
      </c>
      <c r="Z6" s="15">
        <v>6</v>
      </c>
      <c r="AA6" s="13">
        <v>6.0526315789999998</v>
      </c>
    </row>
    <row r="7" spans="1:27" x14ac:dyDescent="0.25">
      <c r="A7" s="14">
        <v>2</v>
      </c>
      <c r="B7" s="14" t="s">
        <v>12</v>
      </c>
      <c r="C7" s="14">
        <v>1</v>
      </c>
      <c r="D7" s="14">
        <v>2</v>
      </c>
      <c r="E7" s="15">
        <v>6</v>
      </c>
      <c r="F7" s="15">
        <v>6</v>
      </c>
      <c r="G7" s="15">
        <v>6</v>
      </c>
      <c r="H7" s="15">
        <v>7</v>
      </c>
      <c r="I7" s="15">
        <v>6</v>
      </c>
      <c r="J7" s="15">
        <v>6</v>
      </c>
      <c r="K7" s="15">
        <v>6</v>
      </c>
      <c r="L7" s="15">
        <v>6</v>
      </c>
      <c r="M7" s="15">
        <v>6</v>
      </c>
      <c r="N7" s="15">
        <v>6</v>
      </c>
      <c r="O7" s="15">
        <v>6</v>
      </c>
      <c r="P7" s="15">
        <v>5</v>
      </c>
      <c r="Q7" s="15">
        <v>7</v>
      </c>
      <c r="R7" s="15">
        <v>6</v>
      </c>
      <c r="S7" s="15">
        <v>2</v>
      </c>
      <c r="T7" s="15">
        <v>7</v>
      </c>
      <c r="U7" s="15">
        <v>6</v>
      </c>
      <c r="V7" s="15">
        <v>2</v>
      </c>
      <c r="W7" s="15">
        <v>6</v>
      </c>
      <c r="X7" s="15">
        <v>8</v>
      </c>
      <c r="Y7" s="15">
        <v>0</v>
      </c>
      <c r="Z7" s="15">
        <v>6</v>
      </c>
      <c r="AA7" s="13">
        <v>5.5789473679999997</v>
      </c>
    </row>
    <row r="8" spans="1:27" x14ac:dyDescent="0.25">
      <c r="A8" s="14">
        <v>2</v>
      </c>
      <c r="B8" s="14" t="s">
        <v>13</v>
      </c>
      <c r="C8" s="14">
        <v>1</v>
      </c>
      <c r="D8" s="14">
        <v>3</v>
      </c>
      <c r="E8" s="15">
        <v>5</v>
      </c>
      <c r="F8" s="15">
        <v>5</v>
      </c>
      <c r="G8" s="15">
        <v>5</v>
      </c>
      <c r="H8" s="15">
        <v>6</v>
      </c>
      <c r="I8" s="15">
        <v>6</v>
      </c>
      <c r="J8" s="15">
        <v>5</v>
      </c>
      <c r="K8" s="15">
        <v>5</v>
      </c>
      <c r="L8" s="15">
        <v>6</v>
      </c>
      <c r="M8" s="15">
        <v>6</v>
      </c>
      <c r="N8" s="15">
        <v>6</v>
      </c>
      <c r="O8" s="15">
        <v>5</v>
      </c>
      <c r="P8" s="15">
        <v>5</v>
      </c>
      <c r="Q8" s="15">
        <v>7</v>
      </c>
      <c r="R8" s="15">
        <v>5</v>
      </c>
      <c r="S8" s="15">
        <v>3</v>
      </c>
      <c r="T8" s="15">
        <v>7</v>
      </c>
      <c r="U8" s="15">
        <v>6</v>
      </c>
      <c r="V8" s="15">
        <v>2</v>
      </c>
      <c r="W8" s="15">
        <v>6</v>
      </c>
      <c r="X8" s="15">
        <v>8</v>
      </c>
      <c r="Y8" s="15">
        <v>0</v>
      </c>
      <c r="Z8" s="15">
        <v>6</v>
      </c>
      <c r="AA8" s="13">
        <v>5.263157895</v>
      </c>
    </row>
    <row r="9" spans="1:27" x14ac:dyDescent="0.25">
      <c r="A9" s="14">
        <v>2</v>
      </c>
      <c r="B9" s="14" t="s">
        <v>14</v>
      </c>
      <c r="C9" s="14">
        <v>1</v>
      </c>
      <c r="D9" s="14">
        <v>4</v>
      </c>
      <c r="E9" s="15">
        <v>5</v>
      </c>
      <c r="F9" s="15">
        <v>5</v>
      </c>
      <c r="G9" s="15">
        <v>5</v>
      </c>
      <c r="H9" s="15">
        <v>7</v>
      </c>
      <c r="I9" s="15">
        <v>5</v>
      </c>
      <c r="J9" s="15">
        <v>5</v>
      </c>
      <c r="K9" s="15">
        <v>6</v>
      </c>
      <c r="L9" s="15">
        <v>6</v>
      </c>
      <c r="M9" s="15">
        <v>5</v>
      </c>
      <c r="N9" s="15">
        <v>5</v>
      </c>
      <c r="O9" s="15">
        <v>5</v>
      </c>
      <c r="P9" s="15">
        <v>5</v>
      </c>
      <c r="Q9" s="15">
        <v>7</v>
      </c>
      <c r="R9" s="15">
        <v>2</v>
      </c>
      <c r="S9" s="15">
        <v>6</v>
      </c>
      <c r="T9" s="15">
        <v>7</v>
      </c>
      <c r="U9" s="15">
        <v>6</v>
      </c>
      <c r="V9" s="15">
        <v>6</v>
      </c>
      <c r="W9" s="15">
        <v>2</v>
      </c>
      <c r="X9" s="15">
        <v>8</v>
      </c>
      <c r="Y9" s="15">
        <v>0</v>
      </c>
      <c r="Z9" s="15">
        <v>5</v>
      </c>
      <c r="AA9" s="13">
        <v>5.1052631579999996</v>
      </c>
    </row>
    <row r="10" spans="1:27" x14ac:dyDescent="0.25">
      <c r="A10" s="11">
        <v>3</v>
      </c>
      <c r="B10" s="11" t="s">
        <v>11</v>
      </c>
      <c r="C10" s="11">
        <v>2</v>
      </c>
      <c r="D10" s="11">
        <v>1</v>
      </c>
      <c r="E10" s="12">
        <v>6</v>
      </c>
      <c r="F10" s="12">
        <v>6</v>
      </c>
      <c r="G10" s="12">
        <v>5</v>
      </c>
      <c r="H10" s="12">
        <v>6</v>
      </c>
      <c r="I10" s="12">
        <v>5</v>
      </c>
      <c r="J10" s="12">
        <v>6</v>
      </c>
      <c r="K10" s="12">
        <v>6</v>
      </c>
      <c r="L10" s="12">
        <v>4</v>
      </c>
      <c r="M10" s="12">
        <v>7</v>
      </c>
      <c r="N10" s="12">
        <v>6</v>
      </c>
      <c r="O10" s="12">
        <v>5</v>
      </c>
      <c r="P10" s="12">
        <v>6</v>
      </c>
      <c r="Q10" s="12">
        <v>6</v>
      </c>
      <c r="R10" s="12">
        <v>2</v>
      </c>
      <c r="S10" s="12">
        <v>6</v>
      </c>
      <c r="T10" s="12">
        <v>7</v>
      </c>
      <c r="U10" s="12">
        <v>3</v>
      </c>
      <c r="V10" s="12">
        <v>1</v>
      </c>
      <c r="W10" s="12">
        <v>7</v>
      </c>
      <c r="X10" s="12">
        <v>8</v>
      </c>
      <c r="Y10" s="12">
        <v>0</v>
      </c>
      <c r="Z10" s="12">
        <v>7</v>
      </c>
      <c r="AA10" s="13">
        <v>5.4736842110000001</v>
      </c>
    </row>
    <row r="11" spans="1:27" x14ac:dyDescent="0.25">
      <c r="A11" s="11">
        <v>3</v>
      </c>
      <c r="B11" s="11" t="s">
        <v>12</v>
      </c>
      <c r="C11" s="11">
        <v>2</v>
      </c>
      <c r="D11" s="11">
        <v>2</v>
      </c>
      <c r="E11" s="12">
        <v>7</v>
      </c>
      <c r="F11" s="12">
        <v>7</v>
      </c>
      <c r="G11" s="12">
        <v>7</v>
      </c>
      <c r="H11" s="12">
        <v>7</v>
      </c>
      <c r="I11" s="12">
        <v>6</v>
      </c>
      <c r="J11" s="12">
        <v>7</v>
      </c>
      <c r="K11" s="12">
        <v>5</v>
      </c>
      <c r="L11" s="12">
        <v>6</v>
      </c>
      <c r="M11" s="12">
        <v>6</v>
      </c>
      <c r="N11" s="12">
        <v>5</v>
      </c>
      <c r="O11" s="12">
        <v>5</v>
      </c>
      <c r="P11" s="12">
        <v>4</v>
      </c>
      <c r="Q11" s="12">
        <v>7</v>
      </c>
      <c r="R11" s="12">
        <v>2</v>
      </c>
      <c r="S11" s="12">
        <v>6</v>
      </c>
      <c r="T11" s="12">
        <v>7</v>
      </c>
      <c r="U11" s="12">
        <v>7</v>
      </c>
      <c r="V11" s="12">
        <v>1</v>
      </c>
      <c r="W11" s="12">
        <v>7</v>
      </c>
      <c r="X11" s="12">
        <v>8</v>
      </c>
      <c r="Y11" s="12">
        <v>0</v>
      </c>
      <c r="Z11" s="12">
        <v>7</v>
      </c>
      <c r="AA11" s="13">
        <v>5.9473684210000002</v>
      </c>
    </row>
    <row r="12" spans="1:27" x14ac:dyDescent="0.25">
      <c r="A12" s="11">
        <v>3</v>
      </c>
      <c r="B12" s="11" t="s">
        <v>13</v>
      </c>
      <c r="C12" s="11">
        <v>2</v>
      </c>
      <c r="D12" s="11">
        <v>4</v>
      </c>
      <c r="E12" s="12">
        <v>7</v>
      </c>
      <c r="F12" s="12">
        <v>7</v>
      </c>
      <c r="G12" s="12">
        <v>7</v>
      </c>
      <c r="H12" s="12">
        <v>7</v>
      </c>
      <c r="I12" s="12">
        <v>6</v>
      </c>
      <c r="J12" s="12">
        <v>7</v>
      </c>
      <c r="K12" s="12">
        <v>6</v>
      </c>
      <c r="L12" s="12">
        <v>4</v>
      </c>
      <c r="M12" s="12">
        <v>6</v>
      </c>
      <c r="N12" s="12">
        <v>7</v>
      </c>
      <c r="O12" s="12">
        <v>4</v>
      </c>
      <c r="P12" s="12">
        <v>4</v>
      </c>
      <c r="Q12" s="12">
        <v>7</v>
      </c>
      <c r="R12" s="12">
        <v>2</v>
      </c>
      <c r="S12" s="12">
        <v>6</v>
      </c>
      <c r="T12" s="12">
        <v>7</v>
      </c>
      <c r="U12" s="12">
        <v>7</v>
      </c>
      <c r="V12" s="12">
        <v>1</v>
      </c>
      <c r="W12" s="12">
        <v>7</v>
      </c>
      <c r="X12" s="12">
        <v>1</v>
      </c>
      <c r="Y12" s="12">
        <v>7</v>
      </c>
      <c r="Z12" s="12">
        <v>7</v>
      </c>
      <c r="AA12" s="13">
        <v>6.3157894739999998</v>
      </c>
    </row>
    <row r="13" spans="1:27" x14ac:dyDescent="0.25">
      <c r="A13" s="11">
        <v>3</v>
      </c>
      <c r="B13" s="11" t="s">
        <v>14</v>
      </c>
      <c r="C13" s="11">
        <v>2</v>
      </c>
      <c r="D13" s="11">
        <v>3</v>
      </c>
      <c r="E13" s="12">
        <v>7</v>
      </c>
      <c r="F13" s="12">
        <v>7</v>
      </c>
      <c r="G13" s="12">
        <v>7</v>
      </c>
      <c r="H13" s="12">
        <v>7</v>
      </c>
      <c r="I13" s="12">
        <v>7</v>
      </c>
      <c r="J13" s="12">
        <v>7</v>
      </c>
      <c r="K13" s="12">
        <v>6</v>
      </c>
      <c r="L13" s="12">
        <v>4</v>
      </c>
      <c r="M13" s="12">
        <v>6</v>
      </c>
      <c r="N13" s="12">
        <v>7</v>
      </c>
      <c r="O13" s="12">
        <v>4</v>
      </c>
      <c r="P13" s="12">
        <v>4</v>
      </c>
      <c r="Q13" s="12">
        <v>7</v>
      </c>
      <c r="R13" s="12">
        <v>2</v>
      </c>
      <c r="S13" s="12">
        <v>6</v>
      </c>
      <c r="T13" s="12">
        <v>7</v>
      </c>
      <c r="U13" s="12">
        <v>7</v>
      </c>
      <c r="V13" s="12">
        <v>1</v>
      </c>
      <c r="W13" s="12">
        <v>7</v>
      </c>
      <c r="X13" s="12">
        <v>5</v>
      </c>
      <c r="Y13" s="12">
        <v>3</v>
      </c>
      <c r="Z13" s="12">
        <v>6</v>
      </c>
      <c r="AA13" s="13">
        <v>6.1052631579999996</v>
      </c>
    </row>
    <row r="14" spans="1:27" x14ac:dyDescent="0.25">
      <c r="A14" s="16">
        <v>4</v>
      </c>
      <c r="B14" s="16" t="s">
        <v>11</v>
      </c>
      <c r="C14" s="16">
        <v>1</v>
      </c>
      <c r="D14" s="16">
        <v>1</v>
      </c>
      <c r="E14" s="17">
        <v>6</v>
      </c>
      <c r="F14" s="17">
        <v>7</v>
      </c>
      <c r="G14" s="17">
        <v>4</v>
      </c>
      <c r="H14" s="17">
        <v>5</v>
      </c>
      <c r="I14" s="17">
        <v>5</v>
      </c>
      <c r="J14" s="17">
        <v>7</v>
      </c>
      <c r="K14" s="17">
        <v>2</v>
      </c>
      <c r="L14" s="17">
        <v>6</v>
      </c>
      <c r="M14" s="17">
        <v>7</v>
      </c>
      <c r="N14" s="17">
        <v>4</v>
      </c>
      <c r="O14" s="17">
        <v>4</v>
      </c>
      <c r="P14" s="17">
        <v>6</v>
      </c>
      <c r="Q14" s="17">
        <v>2</v>
      </c>
      <c r="R14" s="17">
        <v>1</v>
      </c>
      <c r="S14" s="17">
        <v>7</v>
      </c>
      <c r="T14" s="17">
        <v>6</v>
      </c>
      <c r="U14" s="17">
        <v>6</v>
      </c>
      <c r="V14" s="17">
        <v>5</v>
      </c>
      <c r="W14" s="17">
        <v>3</v>
      </c>
      <c r="X14" s="17">
        <v>2</v>
      </c>
      <c r="Y14" s="17">
        <v>6</v>
      </c>
      <c r="Z14" s="17">
        <v>7</v>
      </c>
      <c r="AA14" s="13">
        <v>5.263157895</v>
      </c>
    </row>
    <row r="15" spans="1:27" x14ac:dyDescent="0.25">
      <c r="A15" s="16">
        <v>4</v>
      </c>
      <c r="B15" s="16" t="s">
        <v>12</v>
      </c>
      <c r="C15" s="16">
        <v>1</v>
      </c>
      <c r="D15" s="16">
        <v>2</v>
      </c>
      <c r="E15" s="17">
        <v>6</v>
      </c>
      <c r="F15" s="17">
        <v>6</v>
      </c>
      <c r="G15" s="17">
        <v>3</v>
      </c>
      <c r="H15" s="17">
        <v>5</v>
      </c>
      <c r="I15" s="17">
        <v>4</v>
      </c>
      <c r="J15" s="17">
        <v>5</v>
      </c>
      <c r="K15" s="17">
        <v>3</v>
      </c>
      <c r="L15" s="17">
        <v>6</v>
      </c>
      <c r="M15" s="17">
        <v>7</v>
      </c>
      <c r="N15" s="17">
        <v>3</v>
      </c>
      <c r="O15" s="17">
        <v>4</v>
      </c>
      <c r="P15" s="17">
        <v>6</v>
      </c>
      <c r="Q15" s="17">
        <v>2</v>
      </c>
      <c r="R15" s="17">
        <v>1</v>
      </c>
      <c r="S15" s="17">
        <v>7</v>
      </c>
      <c r="T15" s="17">
        <v>6</v>
      </c>
      <c r="U15" s="17">
        <v>7</v>
      </c>
      <c r="V15" s="17">
        <v>2</v>
      </c>
      <c r="W15" s="17">
        <v>6</v>
      </c>
      <c r="X15" s="17">
        <v>8</v>
      </c>
      <c r="Y15" s="17">
        <v>0</v>
      </c>
      <c r="Z15" s="17">
        <v>6</v>
      </c>
      <c r="AA15" s="13">
        <v>4.8421052629999997</v>
      </c>
    </row>
    <row r="16" spans="1:27" x14ac:dyDescent="0.25">
      <c r="A16" s="16">
        <v>4</v>
      </c>
      <c r="B16" s="16" t="s">
        <v>13</v>
      </c>
      <c r="C16" s="16">
        <v>1</v>
      </c>
      <c r="D16" s="16">
        <v>3</v>
      </c>
      <c r="E16" s="17">
        <v>6</v>
      </c>
      <c r="F16" s="17">
        <v>6</v>
      </c>
      <c r="G16" s="17">
        <v>3</v>
      </c>
      <c r="H16" s="17">
        <v>5</v>
      </c>
      <c r="I16" s="17">
        <v>3</v>
      </c>
      <c r="J16" s="17">
        <v>6</v>
      </c>
      <c r="K16" s="17">
        <v>2</v>
      </c>
      <c r="L16" s="17">
        <v>4</v>
      </c>
      <c r="M16" s="17">
        <v>6</v>
      </c>
      <c r="N16" s="17">
        <v>3</v>
      </c>
      <c r="O16" s="17">
        <v>6</v>
      </c>
      <c r="P16" s="17">
        <v>6</v>
      </c>
      <c r="Q16" s="17">
        <v>5</v>
      </c>
      <c r="R16" s="17">
        <v>1</v>
      </c>
      <c r="S16" s="17">
        <v>7</v>
      </c>
      <c r="T16" s="17">
        <v>6</v>
      </c>
      <c r="U16" s="17">
        <v>7</v>
      </c>
      <c r="V16" s="17">
        <v>2</v>
      </c>
      <c r="W16" s="17">
        <v>6</v>
      </c>
      <c r="X16" s="17">
        <v>8</v>
      </c>
      <c r="Y16" s="17">
        <v>0</v>
      </c>
      <c r="Z16" s="17">
        <v>3</v>
      </c>
      <c r="AA16" s="13">
        <v>4.736842105</v>
      </c>
    </row>
    <row r="17" spans="1:27" x14ac:dyDescent="0.25">
      <c r="A17" s="16">
        <v>4</v>
      </c>
      <c r="B17" s="16" t="s">
        <v>14</v>
      </c>
      <c r="C17" s="16">
        <v>1</v>
      </c>
      <c r="D17" s="16">
        <v>4</v>
      </c>
      <c r="E17" s="17">
        <v>7</v>
      </c>
      <c r="F17" s="17">
        <v>6</v>
      </c>
      <c r="G17" s="17">
        <v>4</v>
      </c>
      <c r="H17" s="17">
        <v>5</v>
      </c>
      <c r="I17" s="17">
        <v>5</v>
      </c>
      <c r="J17" s="17">
        <v>6</v>
      </c>
      <c r="K17" s="17">
        <v>3</v>
      </c>
      <c r="L17" s="17">
        <v>6</v>
      </c>
      <c r="M17" s="17">
        <v>6</v>
      </c>
      <c r="N17" s="17">
        <v>4</v>
      </c>
      <c r="O17" s="17">
        <v>6</v>
      </c>
      <c r="P17" s="17">
        <v>6</v>
      </c>
      <c r="Q17" s="17">
        <v>3</v>
      </c>
      <c r="R17" s="17">
        <v>1</v>
      </c>
      <c r="S17" s="17">
        <v>7</v>
      </c>
      <c r="T17" s="17">
        <v>6</v>
      </c>
      <c r="U17" s="17">
        <v>6</v>
      </c>
      <c r="V17" s="17">
        <v>4</v>
      </c>
      <c r="W17" s="17">
        <v>4</v>
      </c>
      <c r="X17" s="17">
        <v>5</v>
      </c>
      <c r="Y17" s="17">
        <v>3</v>
      </c>
      <c r="Z17" s="17">
        <v>4</v>
      </c>
      <c r="AA17" s="13">
        <v>5.1052631579999996</v>
      </c>
    </row>
    <row r="18" spans="1:27" x14ac:dyDescent="0.25">
      <c r="A18" s="16">
        <v>5</v>
      </c>
      <c r="B18" s="16" t="s">
        <v>11</v>
      </c>
      <c r="C18" s="16">
        <v>3</v>
      </c>
      <c r="D18" s="16">
        <v>3</v>
      </c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7"/>
      <c r="T18" s="16"/>
      <c r="U18" s="16"/>
      <c r="V18" s="16"/>
      <c r="W18" s="17">
        <v>8</v>
      </c>
      <c r="X18" s="16"/>
      <c r="Y18" s="17">
        <v>8</v>
      </c>
      <c r="Z18" s="16"/>
      <c r="AA18" s="13">
        <v>8</v>
      </c>
    </row>
    <row r="19" spans="1:27" x14ac:dyDescent="0.25">
      <c r="A19" s="16">
        <v>5</v>
      </c>
      <c r="B19" s="16" t="s">
        <v>12</v>
      </c>
      <c r="C19" s="16">
        <v>3</v>
      </c>
      <c r="D19" s="16">
        <v>4</v>
      </c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7"/>
      <c r="T19" s="16"/>
      <c r="U19" s="16"/>
      <c r="V19" s="16"/>
      <c r="W19" s="17">
        <v>8</v>
      </c>
      <c r="X19" s="16"/>
      <c r="Y19" s="17">
        <v>8</v>
      </c>
      <c r="Z19" s="16"/>
      <c r="AA19" s="13">
        <v>8</v>
      </c>
    </row>
    <row r="20" spans="1:27" x14ac:dyDescent="0.25">
      <c r="A20" s="16">
        <v>5</v>
      </c>
      <c r="B20" s="16" t="s">
        <v>13</v>
      </c>
      <c r="C20" s="16">
        <v>3</v>
      </c>
      <c r="D20" s="16">
        <v>1</v>
      </c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7"/>
      <c r="T20" s="16"/>
      <c r="U20" s="16"/>
      <c r="V20" s="16"/>
      <c r="W20" s="17">
        <v>8</v>
      </c>
      <c r="X20" s="16"/>
      <c r="Y20" s="17">
        <v>8</v>
      </c>
      <c r="Z20" s="16"/>
      <c r="AA20" s="13">
        <v>8</v>
      </c>
    </row>
    <row r="21" spans="1:27" x14ac:dyDescent="0.25">
      <c r="A21" s="16">
        <v>5</v>
      </c>
      <c r="B21" s="16" t="s">
        <v>14</v>
      </c>
      <c r="C21" s="16">
        <v>3</v>
      </c>
      <c r="D21" s="16">
        <v>2</v>
      </c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7"/>
      <c r="T21" s="16"/>
      <c r="U21" s="16"/>
      <c r="V21" s="16"/>
      <c r="W21" s="17">
        <v>8</v>
      </c>
      <c r="X21" s="16"/>
      <c r="Y21" s="17">
        <v>8</v>
      </c>
      <c r="Z21" s="16"/>
      <c r="AA21" s="13">
        <v>8</v>
      </c>
    </row>
    <row r="22" spans="1:27" x14ac:dyDescent="0.25">
      <c r="A22" s="14">
        <v>6</v>
      </c>
      <c r="B22" s="14" t="s">
        <v>11</v>
      </c>
      <c r="C22" s="14">
        <v>4</v>
      </c>
      <c r="D22" s="14">
        <v>4</v>
      </c>
      <c r="E22" s="18">
        <v>4</v>
      </c>
      <c r="F22" s="18">
        <v>4</v>
      </c>
      <c r="G22" s="18">
        <v>5</v>
      </c>
      <c r="H22" s="18">
        <v>3</v>
      </c>
      <c r="I22" s="18">
        <v>4</v>
      </c>
      <c r="J22" s="18">
        <v>4</v>
      </c>
      <c r="K22" s="18">
        <v>5</v>
      </c>
      <c r="L22" s="18">
        <v>6</v>
      </c>
      <c r="M22" s="18">
        <v>4</v>
      </c>
      <c r="N22" s="18">
        <v>2</v>
      </c>
      <c r="O22" s="18">
        <v>4</v>
      </c>
      <c r="P22" s="18">
        <v>4</v>
      </c>
      <c r="Q22" s="18">
        <v>4</v>
      </c>
      <c r="R22" s="18">
        <v>3</v>
      </c>
      <c r="S22" s="15">
        <v>5</v>
      </c>
      <c r="T22" s="15">
        <v>5</v>
      </c>
      <c r="U22" s="15">
        <v>6</v>
      </c>
      <c r="V22" s="15">
        <v>3</v>
      </c>
      <c r="W22" s="15">
        <v>5</v>
      </c>
      <c r="X22" s="15">
        <v>8</v>
      </c>
      <c r="Y22" s="15">
        <v>0</v>
      </c>
      <c r="Z22" s="18">
        <v>3</v>
      </c>
      <c r="AA22" s="13">
        <v>4.0526315789999998</v>
      </c>
    </row>
    <row r="23" spans="1:27" x14ac:dyDescent="0.25">
      <c r="A23" s="14">
        <v>6</v>
      </c>
      <c r="B23" s="14" t="s">
        <v>12</v>
      </c>
      <c r="C23" s="14">
        <v>4</v>
      </c>
      <c r="D23" s="14">
        <v>3</v>
      </c>
      <c r="E23" s="18">
        <v>4</v>
      </c>
      <c r="F23" s="18">
        <v>4</v>
      </c>
      <c r="G23" s="18">
        <v>5</v>
      </c>
      <c r="H23" s="18">
        <v>5</v>
      </c>
      <c r="I23" s="18">
        <v>4</v>
      </c>
      <c r="J23" s="18">
        <v>6</v>
      </c>
      <c r="K23" s="18">
        <v>5</v>
      </c>
      <c r="L23" s="18">
        <v>6</v>
      </c>
      <c r="M23" s="18">
        <v>4</v>
      </c>
      <c r="N23" s="18">
        <v>5</v>
      </c>
      <c r="O23" s="18">
        <v>6</v>
      </c>
      <c r="P23" s="18">
        <v>2</v>
      </c>
      <c r="Q23" s="18">
        <v>4</v>
      </c>
      <c r="R23" s="18">
        <v>2</v>
      </c>
      <c r="S23" s="15">
        <v>6</v>
      </c>
      <c r="T23" s="15">
        <v>5</v>
      </c>
      <c r="U23" s="15">
        <v>3</v>
      </c>
      <c r="V23" s="15">
        <v>1</v>
      </c>
      <c r="W23" s="15">
        <v>7</v>
      </c>
      <c r="X23" s="15">
        <v>2</v>
      </c>
      <c r="Y23" s="15">
        <v>6</v>
      </c>
      <c r="Z23" s="18">
        <v>3</v>
      </c>
      <c r="AA23" s="13">
        <v>4.736842105</v>
      </c>
    </row>
    <row r="24" spans="1:27" x14ac:dyDescent="0.25">
      <c r="A24" s="14">
        <v>6</v>
      </c>
      <c r="B24" s="14" t="s">
        <v>13</v>
      </c>
      <c r="C24" s="14">
        <v>4</v>
      </c>
      <c r="D24" s="14">
        <v>2</v>
      </c>
      <c r="E24" s="18">
        <v>7</v>
      </c>
      <c r="F24" s="18">
        <v>6</v>
      </c>
      <c r="G24" s="18">
        <v>6</v>
      </c>
      <c r="H24" s="18">
        <v>5</v>
      </c>
      <c r="I24" s="18">
        <v>5</v>
      </c>
      <c r="J24" s="18">
        <v>4</v>
      </c>
      <c r="K24" s="18">
        <v>5</v>
      </c>
      <c r="L24" s="18">
        <v>6</v>
      </c>
      <c r="M24" s="18">
        <v>5</v>
      </c>
      <c r="N24" s="18">
        <v>3</v>
      </c>
      <c r="O24" s="18">
        <v>6</v>
      </c>
      <c r="P24" s="18">
        <v>2</v>
      </c>
      <c r="Q24" s="18">
        <v>5</v>
      </c>
      <c r="R24" s="18">
        <v>2</v>
      </c>
      <c r="S24" s="15">
        <v>6</v>
      </c>
      <c r="T24" s="15">
        <v>7</v>
      </c>
      <c r="U24" s="15">
        <v>7</v>
      </c>
      <c r="V24" s="15">
        <v>5</v>
      </c>
      <c r="W24" s="15">
        <v>3</v>
      </c>
      <c r="X24" s="15">
        <v>1</v>
      </c>
      <c r="Y24" s="15">
        <v>7</v>
      </c>
      <c r="Z24" s="18">
        <v>5</v>
      </c>
      <c r="AA24" s="13">
        <v>5.263157895</v>
      </c>
    </row>
    <row r="25" spans="1:27" x14ac:dyDescent="0.25">
      <c r="A25" s="14">
        <v>6</v>
      </c>
      <c r="B25" s="14" t="s">
        <v>14</v>
      </c>
      <c r="C25" s="14">
        <v>4</v>
      </c>
      <c r="D25" s="14">
        <v>1</v>
      </c>
      <c r="E25" s="18">
        <v>6</v>
      </c>
      <c r="F25" s="18">
        <v>6</v>
      </c>
      <c r="G25" s="18">
        <v>7</v>
      </c>
      <c r="H25" s="18">
        <v>5</v>
      </c>
      <c r="I25" s="18">
        <v>6</v>
      </c>
      <c r="J25" s="18">
        <v>5</v>
      </c>
      <c r="K25" s="18">
        <v>4</v>
      </c>
      <c r="L25" s="18">
        <v>6</v>
      </c>
      <c r="M25" s="18">
        <v>7</v>
      </c>
      <c r="N25" s="18">
        <v>5</v>
      </c>
      <c r="O25" s="18">
        <v>6</v>
      </c>
      <c r="P25" s="18">
        <v>3</v>
      </c>
      <c r="Q25" s="18">
        <v>6</v>
      </c>
      <c r="R25" s="18">
        <v>2</v>
      </c>
      <c r="S25" s="15">
        <v>6</v>
      </c>
      <c r="T25" s="15">
        <v>6</v>
      </c>
      <c r="U25" s="15">
        <v>6</v>
      </c>
      <c r="V25" s="15">
        <v>2</v>
      </c>
      <c r="W25" s="15">
        <v>6</v>
      </c>
      <c r="X25" s="15">
        <v>8</v>
      </c>
      <c r="Y25" s="15">
        <v>0</v>
      </c>
      <c r="Z25" s="18">
        <v>6</v>
      </c>
      <c r="AA25" s="13">
        <v>5.3684210529999996</v>
      </c>
    </row>
    <row r="26" spans="1:27" x14ac:dyDescent="0.25">
      <c r="A26" s="11">
        <v>7</v>
      </c>
      <c r="B26" s="11" t="s">
        <v>11</v>
      </c>
      <c r="C26" s="11">
        <v>1</v>
      </c>
      <c r="D26" s="11">
        <v>1</v>
      </c>
      <c r="E26" s="12">
        <v>7</v>
      </c>
      <c r="F26" s="12">
        <v>6</v>
      </c>
      <c r="G26" s="12">
        <v>7</v>
      </c>
      <c r="H26" s="12">
        <v>7</v>
      </c>
      <c r="I26" s="12">
        <v>7</v>
      </c>
      <c r="J26" s="12">
        <v>7</v>
      </c>
      <c r="K26" s="12">
        <v>6</v>
      </c>
      <c r="L26" s="12">
        <v>7</v>
      </c>
      <c r="M26" s="12">
        <v>7</v>
      </c>
      <c r="N26" s="12">
        <v>5</v>
      </c>
      <c r="O26" s="12">
        <v>7</v>
      </c>
      <c r="P26" s="12">
        <v>7</v>
      </c>
      <c r="Q26" s="12">
        <v>7</v>
      </c>
      <c r="R26" s="12">
        <v>1</v>
      </c>
      <c r="S26" s="12">
        <v>7</v>
      </c>
      <c r="T26" s="12">
        <v>6</v>
      </c>
      <c r="U26" s="12">
        <v>7</v>
      </c>
      <c r="V26" s="12">
        <v>1</v>
      </c>
      <c r="W26" s="12">
        <v>7</v>
      </c>
      <c r="X26" s="12">
        <v>8</v>
      </c>
      <c r="Y26" s="12">
        <v>0</v>
      </c>
      <c r="Z26" s="12">
        <v>7</v>
      </c>
      <c r="AA26" s="13">
        <v>6.3684210529999996</v>
      </c>
    </row>
    <row r="27" spans="1:27" x14ac:dyDescent="0.25">
      <c r="A27" s="11">
        <v>7</v>
      </c>
      <c r="B27" s="11" t="s">
        <v>12</v>
      </c>
      <c r="C27" s="11">
        <v>1</v>
      </c>
      <c r="D27" s="11">
        <v>2</v>
      </c>
      <c r="E27" s="12">
        <v>7</v>
      </c>
      <c r="F27" s="12">
        <v>7</v>
      </c>
      <c r="G27" s="12">
        <v>7</v>
      </c>
      <c r="H27" s="12">
        <v>7</v>
      </c>
      <c r="I27" s="12">
        <v>7</v>
      </c>
      <c r="J27" s="12">
        <v>7</v>
      </c>
      <c r="K27" s="12">
        <v>5</v>
      </c>
      <c r="L27" s="12">
        <v>7</v>
      </c>
      <c r="M27" s="12">
        <v>7</v>
      </c>
      <c r="N27" s="12">
        <v>7</v>
      </c>
      <c r="O27" s="12">
        <v>7</v>
      </c>
      <c r="P27" s="12">
        <v>7</v>
      </c>
      <c r="Q27" s="12">
        <v>5</v>
      </c>
      <c r="R27" s="12">
        <v>7</v>
      </c>
      <c r="S27" s="12">
        <v>1</v>
      </c>
      <c r="T27" s="12">
        <v>7</v>
      </c>
      <c r="U27" s="12">
        <v>7</v>
      </c>
      <c r="V27" s="12">
        <v>1</v>
      </c>
      <c r="W27" s="12">
        <v>7</v>
      </c>
      <c r="X27" s="12">
        <v>2</v>
      </c>
      <c r="Y27" s="12">
        <v>6</v>
      </c>
      <c r="Z27" s="12">
        <v>6</v>
      </c>
      <c r="AA27" s="13">
        <v>6.3684210529999996</v>
      </c>
    </row>
    <row r="28" spans="1:27" x14ac:dyDescent="0.25">
      <c r="A28" s="11">
        <v>7</v>
      </c>
      <c r="B28" s="11" t="s">
        <v>13</v>
      </c>
      <c r="C28" s="11">
        <v>1</v>
      </c>
      <c r="D28" s="11">
        <v>3</v>
      </c>
      <c r="E28" s="12">
        <v>7</v>
      </c>
      <c r="F28" s="12">
        <v>7</v>
      </c>
      <c r="G28" s="12">
        <v>7</v>
      </c>
      <c r="H28" s="12">
        <v>7</v>
      </c>
      <c r="I28" s="12">
        <v>7</v>
      </c>
      <c r="J28" s="12">
        <v>7</v>
      </c>
      <c r="K28" s="12">
        <v>7</v>
      </c>
      <c r="L28" s="12">
        <v>7</v>
      </c>
      <c r="M28" s="12">
        <v>7</v>
      </c>
      <c r="N28" s="12">
        <v>7</v>
      </c>
      <c r="O28" s="12">
        <v>7</v>
      </c>
      <c r="P28" s="12">
        <v>7</v>
      </c>
      <c r="Q28" s="12">
        <v>7</v>
      </c>
      <c r="R28" s="12">
        <v>1</v>
      </c>
      <c r="S28" s="12">
        <v>7</v>
      </c>
      <c r="T28" s="12">
        <v>7</v>
      </c>
      <c r="U28" s="12">
        <v>7</v>
      </c>
      <c r="V28" s="12">
        <v>1</v>
      </c>
      <c r="W28" s="12">
        <v>7</v>
      </c>
      <c r="X28" s="12">
        <v>1</v>
      </c>
      <c r="Y28" s="12">
        <v>7</v>
      </c>
      <c r="Z28" s="12">
        <v>7</v>
      </c>
      <c r="AA28" s="13">
        <v>7</v>
      </c>
    </row>
    <row r="29" spans="1:27" x14ac:dyDescent="0.25">
      <c r="A29" s="11">
        <v>7</v>
      </c>
      <c r="B29" s="11" t="s">
        <v>14</v>
      </c>
      <c r="C29" s="11">
        <v>1</v>
      </c>
      <c r="D29" s="11">
        <v>4</v>
      </c>
      <c r="E29" s="12">
        <v>7</v>
      </c>
      <c r="F29" s="12">
        <v>7</v>
      </c>
      <c r="G29" s="12">
        <v>7</v>
      </c>
      <c r="H29" s="12">
        <v>7</v>
      </c>
      <c r="I29" s="12">
        <v>7</v>
      </c>
      <c r="J29" s="12">
        <v>7</v>
      </c>
      <c r="K29" s="12">
        <v>7</v>
      </c>
      <c r="L29" s="12">
        <v>7</v>
      </c>
      <c r="M29" s="12">
        <v>7</v>
      </c>
      <c r="N29" s="12">
        <v>7</v>
      </c>
      <c r="O29" s="12">
        <v>7</v>
      </c>
      <c r="P29" s="12">
        <v>7</v>
      </c>
      <c r="Q29" s="12">
        <v>7</v>
      </c>
      <c r="R29" s="12">
        <v>2</v>
      </c>
      <c r="S29" s="12">
        <v>6</v>
      </c>
      <c r="T29" s="12">
        <v>7</v>
      </c>
      <c r="U29" s="12">
        <v>7</v>
      </c>
      <c r="V29" s="12">
        <v>7</v>
      </c>
      <c r="W29" s="12">
        <v>1</v>
      </c>
      <c r="X29" s="12">
        <v>8</v>
      </c>
      <c r="Y29" s="12">
        <v>0</v>
      </c>
      <c r="Z29" s="12">
        <v>7</v>
      </c>
      <c r="AA29" s="13">
        <v>6.263157895</v>
      </c>
    </row>
    <row r="30" spans="1:27" x14ac:dyDescent="0.25">
      <c r="A30" s="14">
        <v>8</v>
      </c>
      <c r="B30" s="14" t="s">
        <v>11</v>
      </c>
      <c r="C30" s="14">
        <v>4</v>
      </c>
      <c r="D30" s="14">
        <v>4</v>
      </c>
      <c r="E30" s="18">
        <v>6</v>
      </c>
      <c r="F30" s="18">
        <v>7</v>
      </c>
      <c r="G30" s="18">
        <v>7</v>
      </c>
      <c r="H30" s="18">
        <v>6</v>
      </c>
      <c r="I30" s="18">
        <v>6</v>
      </c>
      <c r="J30" s="18">
        <v>7</v>
      </c>
      <c r="K30" s="18">
        <v>6</v>
      </c>
      <c r="L30" s="18">
        <v>6</v>
      </c>
      <c r="M30" s="18">
        <v>7</v>
      </c>
      <c r="N30" s="18">
        <v>4</v>
      </c>
      <c r="O30" s="18">
        <v>5</v>
      </c>
      <c r="P30" s="18">
        <v>5</v>
      </c>
      <c r="Q30" s="18">
        <v>7</v>
      </c>
      <c r="R30" s="18">
        <v>1</v>
      </c>
      <c r="S30" s="15">
        <v>7</v>
      </c>
      <c r="T30" s="15">
        <v>7</v>
      </c>
      <c r="U30" s="15">
        <v>6</v>
      </c>
      <c r="V30" s="15">
        <v>1</v>
      </c>
      <c r="W30" s="15">
        <v>7</v>
      </c>
      <c r="X30" s="15">
        <v>1</v>
      </c>
      <c r="Y30" s="15">
        <v>7</v>
      </c>
      <c r="Z30" s="18">
        <v>6</v>
      </c>
      <c r="AA30" s="13">
        <v>6.263157895</v>
      </c>
    </row>
    <row r="31" spans="1:27" x14ac:dyDescent="0.25">
      <c r="A31" s="14">
        <v>8</v>
      </c>
      <c r="B31" s="14" t="s">
        <v>12</v>
      </c>
      <c r="C31" s="14">
        <v>4</v>
      </c>
      <c r="D31" s="14">
        <v>3</v>
      </c>
      <c r="E31" s="18">
        <v>6</v>
      </c>
      <c r="F31" s="18">
        <v>6</v>
      </c>
      <c r="G31" s="18">
        <v>6</v>
      </c>
      <c r="H31" s="18">
        <v>7</v>
      </c>
      <c r="I31" s="18">
        <v>6</v>
      </c>
      <c r="J31" s="18">
        <v>7</v>
      </c>
      <c r="K31" s="18">
        <v>7</v>
      </c>
      <c r="L31" s="18">
        <v>6</v>
      </c>
      <c r="M31" s="18">
        <v>7</v>
      </c>
      <c r="N31" s="18">
        <v>4</v>
      </c>
      <c r="O31" s="18">
        <v>6</v>
      </c>
      <c r="P31" s="18">
        <v>4</v>
      </c>
      <c r="Q31" s="18">
        <v>7</v>
      </c>
      <c r="R31" s="18">
        <v>1</v>
      </c>
      <c r="S31" s="15">
        <v>7</v>
      </c>
      <c r="T31" s="15">
        <v>7</v>
      </c>
      <c r="U31" s="15">
        <v>5</v>
      </c>
      <c r="V31" s="15">
        <v>1</v>
      </c>
      <c r="W31" s="15">
        <v>7</v>
      </c>
      <c r="X31" s="15">
        <v>2</v>
      </c>
      <c r="Y31" s="15">
        <v>6</v>
      </c>
      <c r="Z31" s="18">
        <v>6</v>
      </c>
      <c r="AA31" s="13">
        <v>6.1578947370000003</v>
      </c>
    </row>
    <row r="32" spans="1:27" x14ac:dyDescent="0.25">
      <c r="A32" s="14">
        <v>8</v>
      </c>
      <c r="B32" s="14" t="s">
        <v>13</v>
      </c>
      <c r="C32" s="14">
        <v>4</v>
      </c>
      <c r="D32" s="14">
        <v>2</v>
      </c>
      <c r="E32" s="18">
        <v>6</v>
      </c>
      <c r="F32" s="18">
        <v>6</v>
      </c>
      <c r="G32" s="18">
        <v>7</v>
      </c>
      <c r="H32" s="18">
        <v>6</v>
      </c>
      <c r="I32" s="18">
        <v>7</v>
      </c>
      <c r="J32" s="18">
        <v>6</v>
      </c>
      <c r="K32" s="18">
        <v>7</v>
      </c>
      <c r="L32" s="18">
        <v>6</v>
      </c>
      <c r="M32" s="18">
        <v>6</v>
      </c>
      <c r="N32" s="18">
        <v>4</v>
      </c>
      <c r="O32" s="18">
        <v>6</v>
      </c>
      <c r="P32" s="18">
        <v>4</v>
      </c>
      <c r="Q32" s="18">
        <v>6</v>
      </c>
      <c r="R32" s="18">
        <v>1</v>
      </c>
      <c r="S32" s="15">
        <v>7</v>
      </c>
      <c r="T32" s="15">
        <v>7</v>
      </c>
      <c r="U32" s="15">
        <v>6</v>
      </c>
      <c r="V32" s="15">
        <v>1</v>
      </c>
      <c r="W32" s="15">
        <v>7</v>
      </c>
      <c r="X32" s="15">
        <v>1</v>
      </c>
      <c r="Y32" s="15">
        <v>7</v>
      </c>
      <c r="Z32" s="18">
        <v>6</v>
      </c>
      <c r="AA32" s="13">
        <v>6.1578947370000003</v>
      </c>
    </row>
    <row r="33" spans="1:27" x14ac:dyDescent="0.25">
      <c r="A33" s="14">
        <v>8</v>
      </c>
      <c r="B33" s="14" t="s">
        <v>14</v>
      </c>
      <c r="C33" s="14">
        <v>4</v>
      </c>
      <c r="D33" s="14">
        <v>1</v>
      </c>
      <c r="E33" s="18">
        <v>5</v>
      </c>
      <c r="F33" s="18">
        <v>6</v>
      </c>
      <c r="G33" s="18">
        <v>6</v>
      </c>
      <c r="H33" s="18">
        <v>6</v>
      </c>
      <c r="I33" s="18">
        <v>7</v>
      </c>
      <c r="J33" s="18">
        <v>5</v>
      </c>
      <c r="K33" s="18">
        <v>7</v>
      </c>
      <c r="L33" s="18">
        <v>5</v>
      </c>
      <c r="M33" s="18">
        <v>6</v>
      </c>
      <c r="N33" s="18">
        <v>4</v>
      </c>
      <c r="O33" s="18">
        <v>6</v>
      </c>
      <c r="P33" s="18">
        <v>4</v>
      </c>
      <c r="Q33" s="18">
        <v>6</v>
      </c>
      <c r="R33" s="18">
        <v>1</v>
      </c>
      <c r="S33" s="15">
        <v>7</v>
      </c>
      <c r="T33" s="15">
        <v>6</v>
      </c>
      <c r="U33" s="15">
        <v>5</v>
      </c>
      <c r="V33" s="15">
        <v>1</v>
      </c>
      <c r="W33" s="15">
        <v>7</v>
      </c>
      <c r="X33" s="15">
        <v>8</v>
      </c>
      <c r="Y33" s="15">
        <v>0</v>
      </c>
      <c r="Z33" s="18">
        <v>7</v>
      </c>
      <c r="AA33" s="13">
        <v>5.5263157889999999</v>
      </c>
    </row>
    <row r="34" spans="1:27" x14ac:dyDescent="0.25">
      <c r="A34" s="11">
        <v>9</v>
      </c>
      <c r="B34" s="11" t="s">
        <v>11</v>
      </c>
      <c r="C34" s="11">
        <v>2</v>
      </c>
      <c r="D34" s="11">
        <v>2</v>
      </c>
      <c r="E34" s="12">
        <v>5</v>
      </c>
      <c r="F34" s="12">
        <v>7</v>
      </c>
      <c r="G34" s="12">
        <v>6</v>
      </c>
      <c r="H34" s="12">
        <v>7</v>
      </c>
      <c r="I34" s="12">
        <v>7</v>
      </c>
      <c r="J34" s="12">
        <v>7</v>
      </c>
      <c r="K34" s="12">
        <v>6</v>
      </c>
      <c r="L34" s="12">
        <v>5</v>
      </c>
      <c r="M34" s="12">
        <v>6</v>
      </c>
      <c r="N34" s="12">
        <v>5</v>
      </c>
      <c r="O34" s="12">
        <v>6</v>
      </c>
      <c r="P34" s="12">
        <v>6</v>
      </c>
      <c r="Q34" s="12">
        <v>6</v>
      </c>
      <c r="R34" s="12">
        <v>1</v>
      </c>
      <c r="S34" s="12">
        <v>7</v>
      </c>
      <c r="T34" s="12">
        <v>6</v>
      </c>
      <c r="U34" s="12">
        <v>6</v>
      </c>
      <c r="V34" s="12">
        <v>1</v>
      </c>
      <c r="W34" s="12">
        <v>7</v>
      </c>
      <c r="X34" s="12">
        <v>1</v>
      </c>
      <c r="Y34" s="12">
        <v>7</v>
      </c>
      <c r="Z34" s="12">
        <v>6</v>
      </c>
      <c r="AA34" s="13">
        <v>6.2105263160000002</v>
      </c>
    </row>
    <row r="35" spans="1:27" x14ac:dyDescent="0.25">
      <c r="A35" s="11">
        <v>9</v>
      </c>
      <c r="B35" s="11" t="s">
        <v>12</v>
      </c>
      <c r="C35" s="11">
        <v>2</v>
      </c>
      <c r="D35" s="11">
        <v>1</v>
      </c>
      <c r="E35" s="12">
        <v>7</v>
      </c>
      <c r="F35" s="12">
        <v>7</v>
      </c>
      <c r="G35" s="12">
        <v>7</v>
      </c>
      <c r="H35" s="12">
        <v>6</v>
      </c>
      <c r="I35" s="12">
        <v>6</v>
      </c>
      <c r="J35" s="12">
        <v>7</v>
      </c>
      <c r="K35" s="12">
        <v>6</v>
      </c>
      <c r="L35" s="12">
        <v>7</v>
      </c>
      <c r="M35" s="12">
        <v>7</v>
      </c>
      <c r="N35" s="12">
        <v>6</v>
      </c>
      <c r="O35" s="12">
        <v>6</v>
      </c>
      <c r="P35" s="12">
        <v>5</v>
      </c>
      <c r="Q35" s="12">
        <v>5</v>
      </c>
      <c r="R35" s="12">
        <v>1</v>
      </c>
      <c r="S35" s="12">
        <v>7</v>
      </c>
      <c r="T35" s="12">
        <v>6</v>
      </c>
      <c r="U35" s="12">
        <v>7</v>
      </c>
      <c r="V35" s="12">
        <v>2</v>
      </c>
      <c r="W35" s="12">
        <v>6</v>
      </c>
      <c r="X35" s="12">
        <v>1</v>
      </c>
      <c r="Y35" s="12">
        <v>7</v>
      </c>
      <c r="Z35" s="12">
        <v>6</v>
      </c>
      <c r="AA35" s="13">
        <v>6.3684210529999996</v>
      </c>
    </row>
    <row r="36" spans="1:27" x14ac:dyDescent="0.25">
      <c r="A36" s="11">
        <v>9</v>
      </c>
      <c r="B36" s="11" t="s">
        <v>13</v>
      </c>
      <c r="C36" s="11">
        <v>2</v>
      </c>
      <c r="D36" s="11">
        <v>4</v>
      </c>
      <c r="E36" s="12">
        <v>7</v>
      </c>
      <c r="F36" s="12">
        <v>7</v>
      </c>
      <c r="G36" s="12">
        <v>7</v>
      </c>
      <c r="H36" s="12">
        <v>7</v>
      </c>
      <c r="I36" s="12">
        <v>6</v>
      </c>
      <c r="J36" s="12">
        <v>7</v>
      </c>
      <c r="K36" s="12">
        <v>7</v>
      </c>
      <c r="L36" s="12">
        <v>6</v>
      </c>
      <c r="M36" s="12">
        <v>6</v>
      </c>
      <c r="N36" s="12">
        <v>7</v>
      </c>
      <c r="O36" s="12">
        <v>7</v>
      </c>
      <c r="P36" s="12">
        <v>6</v>
      </c>
      <c r="Q36" s="12">
        <v>7</v>
      </c>
      <c r="R36" s="12">
        <v>1</v>
      </c>
      <c r="S36" s="12">
        <v>7</v>
      </c>
      <c r="T36" s="12">
        <v>7</v>
      </c>
      <c r="U36" s="12">
        <v>7</v>
      </c>
      <c r="V36" s="12">
        <v>3</v>
      </c>
      <c r="W36" s="12">
        <v>5</v>
      </c>
      <c r="X36" s="12">
        <v>2</v>
      </c>
      <c r="Y36" s="12">
        <v>6</v>
      </c>
      <c r="Z36" s="12">
        <v>6</v>
      </c>
      <c r="AA36" s="13">
        <v>6.5789473679999997</v>
      </c>
    </row>
    <row r="37" spans="1:27" x14ac:dyDescent="0.25">
      <c r="A37" s="11">
        <v>9</v>
      </c>
      <c r="B37" s="11" t="s">
        <v>14</v>
      </c>
      <c r="C37" s="11">
        <v>2</v>
      </c>
      <c r="D37" s="11">
        <v>3</v>
      </c>
      <c r="E37" s="12">
        <v>7</v>
      </c>
      <c r="F37" s="12">
        <v>7</v>
      </c>
      <c r="G37" s="12">
        <v>6</v>
      </c>
      <c r="H37" s="12">
        <v>7</v>
      </c>
      <c r="I37" s="12">
        <v>7</v>
      </c>
      <c r="J37" s="12">
        <v>7</v>
      </c>
      <c r="K37" s="12">
        <v>6</v>
      </c>
      <c r="L37" s="12">
        <v>5</v>
      </c>
      <c r="M37" s="12">
        <v>6</v>
      </c>
      <c r="N37" s="12">
        <v>5</v>
      </c>
      <c r="O37" s="12">
        <v>7</v>
      </c>
      <c r="P37" s="12">
        <v>6</v>
      </c>
      <c r="Q37" s="12">
        <v>6</v>
      </c>
      <c r="R37" s="12">
        <v>1</v>
      </c>
      <c r="S37" s="12">
        <v>7</v>
      </c>
      <c r="T37" s="12">
        <v>7</v>
      </c>
      <c r="U37" s="12">
        <v>6</v>
      </c>
      <c r="V37" s="12">
        <v>3</v>
      </c>
      <c r="W37" s="12">
        <v>5</v>
      </c>
      <c r="X37" s="12">
        <v>2</v>
      </c>
      <c r="Y37" s="12">
        <v>6</v>
      </c>
      <c r="Z37" s="12">
        <v>6</v>
      </c>
      <c r="AA37" s="13">
        <v>6.263157895</v>
      </c>
    </row>
    <row r="38" spans="1:27" x14ac:dyDescent="0.25">
      <c r="A38" s="14">
        <v>10</v>
      </c>
      <c r="B38" s="14" t="s">
        <v>11</v>
      </c>
      <c r="C38" s="14">
        <v>4</v>
      </c>
      <c r="D38" s="14">
        <v>4</v>
      </c>
      <c r="E38" s="18">
        <v>7</v>
      </c>
      <c r="F38" s="18">
        <v>4</v>
      </c>
      <c r="G38" s="18">
        <v>3</v>
      </c>
      <c r="H38" s="18">
        <v>4</v>
      </c>
      <c r="I38" s="18">
        <v>5</v>
      </c>
      <c r="J38" s="18">
        <v>4</v>
      </c>
      <c r="K38" s="18">
        <v>3</v>
      </c>
      <c r="L38" s="18">
        <v>7</v>
      </c>
      <c r="M38" s="18">
        <v>6</v>
      </c>
      <c r="N38" s="18">
        <v>4</v>
      </c>
      <c r="O38" s="18">
        <v>4</v>
      </c>
      <c r="P38" s="18">
        <v>4</v>
      </c>
      <c r="Q38" s="18">
        <v>4</v>
      </c>
      <c r="R38" s="18">
        <v>2</v>
      </c>
      <c r="S38" s="15">
        <v>6</v>
      </c>
      <c r="T38" s="15">
        <v>7</v>
      </c>
      <c r="U38" s="15">
        <v>7</v>
      </c>
      <c r="V38" s="15">
        <v>1</v>
      </c>
      <c r="W38" s="15">
        <v>7</v>
      </c>
      <c r="X38" s="15">
        <v>1</v>
      </c>
      <c r="Y38" s="15">
        <v>7</v>
      </c>
      <c r="Z38" s="18">
        <v>7</v>
      </c>
      <c r="AA38" s="13">
        <v>5.263157895</v>
      </c>
    </row>
    <row r="39" spans="1:27" x14ac:dyDescent="0.25">
      <c r="A39" s="14">
        <v>10</v>
      </c>
      <c r="B39" s="14" t="s">
        <v>12</v>
      </c>
      <c r="C39" s="14">
        <v>4</v>
      </c>
      <c r="D39" s="14">
        <v>3</v>
      </c>
      <c r="E39" s="18">
        <v>7</v>
      </c>
      <c r="F39" s="18">
        <v>7</v>
      </c>
      <c r="G39" s="18">
        <v>3</v>
      </c>
      <c r="H39" s="18">
        <v>3</v>
      </c>
      <c r="I39" s="18">
        <v>5</v>
      </c>
      <c r="J39" s="18">
        <v>4</v>
      </c>
      <c r="K39" s="18">
        <v>3</v>
      </c>
      <c r="L39" s="18">
        <v>7</v>
      </c>
      <c r="M39" s="18">
        <v>5</v>
      </c>
      <c r="N39" s="18">
        <v>4</v>
      </c>
      <c r="O39" s="18">
        <v>4</v>
      </c>
      <c r="P39" s="18">
        <v>4</v>
      </c>
      <c r="Q39" s="18">
        <v>4</v>
      </c>
      <c r="R39" s="18">
        <v>1</v>
      </c>
      <c r="S39" s="15">
        <v>7</v>
      </c>
      <c r="T39" s="15">
        <v>7</v>
      </c>
      <c r="U39" s="15">
        <v>7</v>
      </c>
      <c r="V39" s="15">
        <v>1</v>
      </c>
      <c r="W39" s="15">
        <v>7</v>
      </c>
      <c r="X39" s="15">
        <v>1</v>
      </c>
      <c r="Y39" s="15">
        <v>7</v>
      </c>
      <c r="Z39" s="18">
        <v>7</v>
      </c>
      <c r="AA39" s="13">
        <v>5.3684210529999996</v>
      </c>
    </row>
    <row r="40" spans="1:27" x14ac:dyDescent="0.25">
      <c r="A40" s="14">
        <v>10</v>
      </c>
      <c r="B40" s="14" t="s">
        <v>13</v>
      </c>
      <c r="C40" s="14">
        <v>4</v>
      </c>
      <c r="D40" s="14">
        <v>2</v>
      </c>
      <c r="E40" s="18">
        <v>7</v>
      </c>
      <c r="F40" s="18">
        <v>7</v>
      </c>
      <c r="G40" s="18">
        <v>3</v>
      </c>
      <c r="H40" s="18">
        <v>3</v>
      </c>
      <c r="I40" s="18">
        <v>6</v>
      </c>
      <c r="J40" s="18">
        <v>3</v>
      </c>
      <c r="K40" s="18">
        <v>3</v>
      </c>
      <c r="L40" s="18">
        <v>7</v>
      </c>
      <c r="M40" s="18">
        <v>6</v>
      </c>
      <c r="N40" s="18">
        <v>4</v>
      </c>
      <c r="O40" s="18">
        <v>4</v>
      </c>
      <c r="P40" s="18">
        <v>4</v>
      </c>
      <c r="Q40" s="18">
        <v>5</v>
      </c>
      <c r="R40" s="18">
        <v>2</v>
      </c>
      <c r="S40" s="15">
        <v>6</v>
      </c>
      <c r="T40" s="15">
        <v>7</v>
      </c>
      <c r="U40" s="15">
        <v>7</v>
      </c>
      <c r="V40" s="15">
        <v>1</v>
      </c>
      <c r="W40" s="15">
        <v>7</v>
      </c>
      <c r="X40" s="15">
        <v>1</v>
      </c>
      <c r="Y40" s="15">
        <v>7</v>
      </c>
      <c r="Z40" s="18">
        <v>7</v>
      </c>
      <c r="AA40" s="13">
        <v>5.4210526320000003</v>
      </c>
    </row>
    <row r="41" spans="1:27" x14ac:dyDescent="0.25">
      <c r="A41" s="14">
        <v>10</v>
      </c>
      <c r="B41" s="14" t="s">
        <v>14</v>
      </c>
      <c r="C41" s="14">
        <v>4</v>
      </c>
      <c r="D41" s="14">
        <v>1</v>
      </c>
      <c r="E41" s="18">
        <v>6</v>
      </c>
      <c r="F41" s="18">
        <v>7</v>
      </c>
      <c r="G41" s="18">
        <v>2</v>
      </c>
      <c r="H41" s="18">
        <v>4</v>
      </c>
      <c r="I41" s="18">
        <v>7</v>
      </c>
      <c r="J41" s="18">
        <v>5</v>
      </c>
      <c r="K41" s="18">
        <v>3</v>
      </c>
      <c r="L41" s="18">
        <v>7</v>
      </c>
      <c r="M41" s="18">
        <v>7</v>
      </c>
      <c r="N41" s="18">
        <v>4</v>
      </c>
      <c r="O41" s="18">
        <v>4</v>
      </c>
      <c r="P41" s="18">
        <v>4</v>
      </c>
      <c r="Q41" s="18">
        <v>5</v>
      </c>
      <c r="R41" s="18">
        <v>1</v>
      </c>
      <c r="S41" s="15">
        <v>7</v>
      </c>
      <c r="T41" s="15">
        <v>7</v>
      </c>
      <c r="U41" s="15">
        <v>7</v>
      </c>
      <c r="V41" s="15">
        <v>1</v>
      </c>
      <c r="W41" s="15">
        <v>7</v>
      </c>
      <c r="X41" s="15">
        <v>1</v>
      </c>
      <c r="Y41" s="15">
        <v>7</v>
      </c>
      <c r="Z41" s="18">
        <v>7</v>
      </c>
      <c r="AA41" s="13">
        <v>5.6315789470000004</v>
      </c>
    </row>
    <row r="42" spans="1:27" x14ac:dyDescent="0.25">
      <c r="A42" s="11">
        <v>11</v>
      </c>
      <c r="B42" s="11" t="s">
        <v>11</v>
      </c>
      <c r="C42" s="11">
        <v>3</v>
      </c>
      <c r="D42" s="11">
        <v>3</v>
      </c>
      <c r="E42" s="12">
        <v>6</v>
      </c>
      <c r="F42" s="12">
        <v>6</v>
      </c>
      <c r="G42" s="12">
        <v>6</v>
      </c>
      <c r="H42" s="12">
        <v>6</v>
      </c>
      <c r="I42" s="12">
        <v>5</v>
      </c>
      <c r="J42" s="12">
        <v>6</v>
      </c>
      <c r="K42" s="12">
        <v>6</v>
      </c>
      <c r="L42" s="12">
        <v>6</v>
      </c>
      <c r="M42" s="12">
        <v>5</v>
      </c>
      <c r="N42" s="12">
        <v>6</v>
      </c>
      <c r="O42" s="12">
        <v>5</v>
      </c>
      <c r="P42" s="12">
        <v>5</v>
      </c>
      <c r="Q42" s="12">
        <v>5</v>
      </c>
      <c r="R42" s="12">
        <v>2</v>
      </c>
      <c r="S42" s="12">
        <v>6</v>
      </c>
      <c r="T42" s="12">
        <v>7</v>
      </c>
      <c r="U42" s="12">
        <v>6</v>
      </c>
      <c r="V42" s="12">
        <v>2</v>
      </c>
      <c r="W42" s="12">
        <v>6</v>
      </c>
      <c r="X42" s="12">
        <v>8</v>
      </c>
      <c r="Y42" s="12">
        <v>0</v>
      </c>
      <c r="Z42" s="12">
        <v>6</v>
      </c>
      <c r="AA42" s="13">
        <v>5.4736842110000001</v>
      </c>
    </row>
    <row r="43" spans="1:27" x14ac:dyDescent="0.25">
      <c r="A43" s="11">
        <v>11</v>
      </c>
      <c r="B43" s="11" t="s">
        <v>12</v>
      </c>
      <c r="C43" s="11">
        <v>3</v>
      </c>
      <c r="D43" s="11">
        <v>4</v>
      </c>
      <c r="E43" s="12">
        <v>6</v>
      </c>
      <c r="F43" s="12">
        <v>6</v>
      </c>
      <c r="G43" s="12">
        <v>6</v>
      </c>
      <c r="H43" s="12">
        <v>6</v>
      </c>
      <c r="I43" s="12">
        <v>5</v>
      </c>
      <c r="J43" s="12">
        <v>6</v>
      </c>
      <c r="K43" s="12">
        <v>5</v>
      </c>
      <c r="L43" s="12">
        <v>6</v>
      </c>
      <c r="M43" s="12">
        <v>6</v>
      </c>
      <c r="N43" s="12">
        <v>6</v>
      </c>
      <c r="O43" s="12">
        <v>5</v>
      </c>
      <c r="P43" s="12">
        <v>5</v>
      </c>
      <c r="Q43" s="12">
        <v>6</v>
      </c>
      <c r="R43" s="12">
        <v>2</v>
      </c>
      <c r="S43" s="12">
        <v>6</v>
      </c>
      <c r="T43" s="12">
        <v>7</v>
      </c>
      <c r="U43" s="12">
        <v>6</v>
      </c>
      <c r="V43" s="12">
        <v>2</v>
      </c>
      <c r="W43" s="12">
        <v>6</v>
      </c>
      <c r="X43" s="12">
        <v>8</v>
      </c>
      <c r="Y43" s="12">
        <v>0</v>
      </c>
      <c r="Z43" s="12">
        <v>6</v>
      </c>
      <c r="AA43" s="13">
        <v>5.5263157889999999</v>
      </c>
    </row>
    <row r="44" spans="1:27" x14ac:dyDescent="0.25">
      <c r="A44" s="11">
        <v>11</v>
      </c>
      <c r="B44" s="11" t="s">
        <v>13</v>
      </c>
      <c r="C44" s="11">
        <v>3</v>
      </c>
      <c r="D44" s="11">
        <v>1</v>
      </c>
      <c r="E44" s="12">
        <v>5</v>
      </c>
      <c r="F44" s="12">
        <v>5</v>
      </c>
      <c r="G44" s="12">
        <v>6</v>
      </c>
      <c r="H44" s="12">
        <v>6</v>
      </c>
      <c r="I44" s="12">
        <v>5</v>
      </c>
      <c r="J44" s="12">
        <v>7</v>
      </c>
      <c r="K44" s="12">
        <v>4</v>
      </c>
      <c r="L44" s="12">
        <v>5</v>
      </c>
      <c r="M44" s="12">
        <v>5</v>
      </c>
      <c r="N44" s="12">
        <v>6</v>
      </c>
      <c r="O44" s="12">
        <v>4</v>
      </c>
      <c r="P44" s="12">
        <v>5</v>
      </c>
      <c r="Q44" s="12">
        <v>7</v>
      </c>
      <c r="R44" s="12">
        <v>2</v>
      </c>
      <c r="S44" s="12">
        <v>6</v>
      </c>
      <c r="T44" s="12">
        <v>7</v>
      </c>
      <c r="U44" s="12">
        <v>7</v>
      </c>
      <c r="V44" s="12">
        <v>2</v>
      </c>
      <c r="W44" s="12">
        <v>6</v>
      </c>
      <c r="X44" s="12">
        <v>1</v>
      </c>
      <c r="Y44" s="12">
        <v>7</v>
      </c>
      <c r="Z44" s="12">
        <v>6</v>
      </c>
      <c r="AA44" s="13">
        <v>5.736842105</v>
      </c>
    </row>
    <row r="45" spans="1:27" x14ac:dyDescent="0.25">
      <c r="A45" s="11">
        <v>11</v>
      </c>
      <c r="B45" s="11" t="s">
        <v>14</v>
      </c>
      <c r="C45" s="11">
        <v>3</v>
      </c>
      <c r="D45" s="11">
        <v>2</v>
      </c>
      <c r="E45" s="12">
        <v>6</v>
      </c>
      <c r="F45" s="12">
        <v>6</v>
      </c>
      <c r="G45" s="12">
        <v>6</v>
      </c>
      <c r="H45" s="12">
        <v>7</v>
      </c>
      <c r="I45" s="12">
        <v>6</v>
      </c>
      <c r="J45" s="12">
        <v>7</v>
      </c>
      <c r="K45" s="12">
        <v>6</v>
      </c>
      <c r="L45" s="12">
        <v>6</v>
      </c>
      <c r="M45" s="12">
        <v>6</v>
      </c>
      <c r="N45" s="12">
        <v>6</v>
      </c>
      <c r="O45" s="12">
        <v>5</v>
      </c>
      <c r="P45" s="12">
        <v>5</v>
      </c>
      <c r="Q45" s="12">
        <v>6</v>
      </c>
      <c r="R45" s="12">
        <v>2</v>
      </c>
      <c r="S45" s="12">
        <v>6</v>
      </c>
      <c r="T45" s="12">
        <v>7</v>
      </c>
      <c r="U45" s="12">
        <v>6</v>
      </c>
      <c r="V45" s="12">
        <v>2</v>
      </c>
      <c r="W45" s="12">
        <v>6</v>
      </c>
      <c r="X45" s="12">
        <v>1</v>
      </c>
      <c r="Y45" s="12">
        <v>7</v>
      </c>
      <c r="Z45" s="12">
        <v>7</v>
      </c>
      <c r="AA45" s="13">
        <v>6.1578947370000003</v>
      </c>
    </row>
    <row r="46" spans="1:27" x14ac:dyDescent="0.25">
      <c r="A46" s="14">
        <v>12</v>
      </c>
      <c r="B46" s="14" t="s">
        <v>11</v>
      </c>
      <c r="C46" s="14">
        <v>3</v>
      </c>
      <c r="D46" s="14">
        <v>3</v>
      </c>
      <c r="E46" s="18">
        <v>6</v>
      </c>
      <c r="F46" s="18">
        <v>7</v>
      </c>
      <c r="G46" s="18">
        <v>5</v>
      </c>
      <c r="H46" s="18">
        <v>7</v>
      </c>
      <c r="I46" s="18">
        <v>5</v>
      </c>
      <c r="J46" s="18">
        <v>5</v>
      </c>
      <c r="K46" s="18">
        <v>6</v>
      </c>
      <c r="L46" s="18">
        <v>6</v>
      </c>
      <c r="M46" s="18">
        <v>7</v>
      </c>
      <c r="N46" s="18">
        <v>6</v>
      </c>
      <c r="O46" s="18">
        <v>6</v>
      </c>
      <c r="P46" s="18">
        <v>7</v>
      </c>
      <c r="Q46" s="18">
        <v>6</v>
      </c>
      <c r="R46" s="18">
        <v>2</v>
      </c>
      <c r="S46" s="15">
        <v>6</v>
      </c>
      <c r="T46" s="15">
        <v>7</v>
      </c>
      <c r="U46" s="15">
        <v>5</v>
      </c>
      <c r="V46" s="15">
        <v>1</v>
      </c>
      <c r="W46" s="15">
        <v>7</v>
      </c>
      <c r="X46" s="15">
        <v>1</v>
      </c>
      <c r="Y46" s="15">
        <v>7</v>
      </c>
      <c r="Z46" s="15">
        <v>5</v>
      </c>
      <c r="AA46" s="13">
        <v>6.1052631579999996</v>
      </c>
    </row>
    <row r="47" spans="1:27" x14ac:dyDescent="0.25">
      <c r="A47" s="14">
        <v>12</v>
      </c>
      <c r="B47" s="14" t="s">
        <v>12</v>
      </c>
      <c r="C47" s="14">
        <v>3</v>
      </c>
      <c r="D47" s="14">
        <v>4</v>
      </c>
      <c r="E47" s="18">
        <v>5</v>
      </c>
      <c r="F47" s="18">
        <v>6</v>
      </c>
      <c r="G47" s="18">
        <v>6</v>
      </c>
      <c r="H47" s="18">
        <v>7</v>
      </c>
      <c r="I47" s="18">
        <v>5</v>
      </c>
      <c r="J47" s="18">
        <v>6</v>
      </c>
      <c r="K47" s="18">
        <v>5</v>
      </c>
      <c r="L47" s="18">
        <v>6</v>
      </c>
      <c r="M47" s="18">
        <v>7</v>
      </c>
      <c r="N47" s="18">
        <v>6</v>
      </c>
      <c r="O47" s="18">
        <v>6</v>
      </c>
      <c r="P47" s="18">
        <v>7</v>
      </c>
      <c r="Q47" s="18">
        <v>6</v>
      </c>
      <c r="R47" s="18">
        <v>2</v>
      </c>
      <c r="S47" s="15">
        <v>6</v>
      </c>
      <c r="T47" s="15">
        <v>7</v>
      </c>
      <c r="U47" s="15">
        <v>6</v>
      </c>
      <c r="V47" s="15">
        <v>1</v>
      </c>
      <c r="W47" s="15">
        <v>7</v>
      </c>
      <c r="X47" s="15">
        <v>1</v>
      </c>
      <c r="Y47" s="15">
        <v>7</v>
      </c>
      <c r="Z47" s="15">
        <v>6</v>
      </c>
      <c r="AA47" s="13">
        <v>6.1578947370000003</v>
      </c>
    </row>
    <row r="48" spans="1:27" x14ac:dyDescent="0.25">
      <c r="A48" s="14">
        <v>12</v>
      </c>
      <c r="B48" s="14" t="s">
        <v>13</v>
      </c>
      <c r="C48" s="14">
        <v>3</v>
      </c>
      <c r="D48" s="14">
        <v>1</v>
      </c>
      <c r="E48" s="18">
        <v>6</v>
      </c>
      <c r="F48" s="18">
        <v>7</v>
      </c>
      <c r="G48" s="18">
        <v>4</v>
      </c>
      <c r="H48" s="18">
        <v>6</v>
      </c>
      <c r="I48" s="18">
        <v>6</v>
      </c>
      <c r="J48" s="18">
        <v>5</v>
      </c>
      <c r="K48" s="18">
        <v>5</v>
      </c>
      <c r="L48" s="18">
        <v>6</v>
      </c>
      <c r="M48" s="18">
        <v>7</v>
      </c>
      <c r="N48" s="18">
        <v>7</v>
      </c>
      <c r="O48" s="18">
        <v>6</v>
      </c>
      <c r="P48" s="18">
        <v>6</v>
      </c>
      <c r="Q48" s="18">
        <v>7</v>
      </c>
      <c r="R48" s="18">
        <v>1</v>
      </c>
      <c r="S48" s="15">
        <v>7</v>
      </c>
      <c r="T48" s="15">
        <v>7</v>
      </c>
      <c r="U48" s="15">
        <v>6</v>
      </c>
      <c r="V48" s="15">
        <v>1</v>
      </c>
      <c r="W48" s="15">
        <v>7</v>
      </c>
      <c r="X48" s="15">
        <v>1</v>
      </c>
      <c r="Y48" s="15">
        <v>7</v>
      </c>
      <c r="Z48" s="15">
        <v>6</v>
      </c>
      <c r="AA48" s="13">
        <v>6.2105263160000002</v>
      </c>
    </row>
    <row r="49" spans="1:27" x14ac:dyDescent="0.25">
      <c r="A49" s="14">
        <v>12</v>
      </c>
      <c r="B49" s="14" t="s">
        <v>14</v>
      </c>
      <c r="C49" s="14">
        <v>3</v>
      </c>
      <c r="D49" s="14">
        <v>2</v>
      </c>
      <c r="E49" s="18">
        <v>7</v>
      </c>
      <c r="F49" s="18">
        <v>7</v>
      </c>
      <c r="G49" s="18">
        <v>6</v>
      </c>
      <c r="H49" s="18">
        <v>6</v>
      </c>
      <c r="I49" s="18">
        <v>6</v>
      </c>
      <c r="J49" s="18">
        <v>6</v>
      </c>
      <c r="K49" s="18">
        <v>6</v>
      </c>
      <c r="L49" s="18">
        <v>6</v>
      </c>
      <c r="M49" s="18">
        <v>7</v>
      </c>
      <c r="N49" s="18">
        <v>5</v>
      </c>
      <c r="O49" s="18">
        <v>6</v>
      </c>
      <c r="P49" s="18">
        <v>7</v>
      </c>
      <c r="Q49" s="18">
        <v>7</v>
      </c>
      <c r="R49" s="18">
        <v>2</v>
      </c>
      <c r="S49" s="15">
        <v>6</v>
      </c>
      <c r="T49" s="15">
        <v>7</v>
      </c>
      <c r="U49" s="15">
        <v>6</v>
      </c>
      <c r="V49" s="15">
        <v>1</v>
      </c>
      <c r="W49" s="15">
        <v>7</v>
      </c>
      <c r="X49" s="15">
        <v>1</v>
      </c>
      <c r="Y49" s="15">
        <v>7</v>
      </c>
      <c r="Z49" s="15">
        <v>6</v>
      </c>
      <c r="AA49" s="13">
        <v>6.3684210529999996</v>
      </c>
    </row>
    <row r="50" spans="1:27" x14ac:dyDescent="0.25">
      <c r="A50" s="11">
        <v>13</v>
      </c>
      <c r="B50" s="11" t="s">
        <v>11</v>
      </c>
      <c r="C50" s="11">
        <v>1</v>
      </c>
      <c r="D50" s="11">
        <v>1</v>
      </c>
      <c r="E50" s="12">
        <v>6</v>
      </c>
      <c r="F50" s="12">
        <v>7</v>
      </c>
      <c r="G50" s="12">
        <v>7</v>
      </c>
      <c r="H50" s="12">
        <v>6</v>
      </c>
      <c r="I50" s="12">
        <v>6</v>
      </c>
      <c r="J50" s="12">
        <v>7</v>
      </c>
      <c r="K50" s="12">
        <v>7</v>
      </c>
      <c r="L50" s="12">
        <v>7</v>
      </c>
      <c r="M50" s="12">
        <v>6</v>
      </c>
      <c r="N50" s="12">
        <v>5</v>
      </c>
      <c r="O50" s="12">
        <v>6</v>
      </c>
      <c r="P50" s="12">
        <v>7</v>
      </c>
      <c r="Q50" s="12">
        <v>7</v>
      </c>
      <c r="R50" s="12">
        <v>1</v>
      </c>
      <c r="S50" s="12">
        <v>7</v>
      </c>
      <c r="T50" s="12">
        <v>7</v>
      </c>
      <c r="U50" s="12">
        <v>7</v>
      </c>
      <c r="V50" s="12">
        <v>1</v>
      </c>
      <c r="W50" s="12">
        <v>7</v>
      </c>
      <c r="X50" s="12">
        <v>1</v>
      </c>
      <c r="Y50" s="12">
        <v>7</v>
      </c>
      <c r="Z50" s="12">
        <v>4</v>
      </c>
      <c r="AA50" s="13">
        <v>6.4736842110000001</v>
      </c>
    </row>
    <row r="51" spans="1:27" x14ac:dyDescent="0.25">
      <c r="A51" s="11">
        <v>13</v>
      </c>
      <c r="B51" s="11" t="s">
        <v>12</v>
      </c>
      <c r="C51" s="11">
        <v>1</v>
      </c>
      <c r="D51" s="11">
        <v>2</v>
      </c>
      <c r="E51" s="12">
        <v>6</v>
      </c>
      <c r="F51" s="12">
        <v>7</v>
      </c>
      <c r="G51" s="12">
        <v>7</v>
      </c>
      <c r="H51" s="12">
        <v>7</v>
      </c>
      <c r="I51" s="12">
        <v>6</v>
      </c>
      <c r="J51" s="12">
        <v>7</v>
      </c>
      <c r="K51" s="12">
        <v>7</v>
      </c>
      <c r="L51" s="12">
        <v>7</v>
      </c>
      <c r="M51" s="12">
        <v>7</v>
      </c>
      <c r="N51" s="12">
        <v>6</v>
      </c>
      <c r="O51" s="12">
        <v>7</v>
      </c>
      <c r="P51" s="12">
        <v>7</v>
      </c>
      <c r="Q51" s="12">
        <v>6</v>
      </c>
      <c r="R51" s="12">
        <v>1</v>
      </c>
      <c r="S51" s="12">
        <v>7</v>
      </c>
      <c r="T51" s="12">
        <v>7</v>
      </c>
      <c r="U51" s="12">
        <v>7</v>
      </c>
      <c r="V51" s="12">
        <v>6</v>
      </c>
      <c r="W51" s="12">
        <v>2</v>
      </c>
      <c r="X51" s="12">
        <v>8</v>
      </c>
      <c r="Y51" s="12">
        <v>0</v>
      </c>
      <c r="Z51" s="12">
        <v>4</v>
      </c>
      <c r="AA51" s="13">
        <v>6</v>
      </c>
    </row>
    <row r="52" spans="1:27" x14ac:dyDescent="0.25">
      <c r="A52" s="11">
        <v>13</v>
      </c>
      <c r="B52" s="11" t="s">
        <v>13</v>
      </c>
      <c r="C52" s="11">
        <v>1</v>
      </c>
      <c r="D52" s="11">
        <v>3</v>
      </c>
      <c r="E52" s="12">
        <v>7</v>
      </c>
      <c r="F52" s="12">
        <v>7</v>
      </c>
      <c r="G52" s="12">
        <v>7</v>
      </c>
      <c r="H52" s="12">
        <v>7</v>
      </c>
      <c r="I52" s="12">
        <v>6</v>
      </c>
      <c r="J52" s="12">
        <v>7</v>
      </c>
      <c r="K52" s="12">
        <v>7</v>
      </c>
      <c r="L52" s="12">
        <v>7</v>
      </c>
      <c r="M52" s="12">
        <v>7</v>
      </c>
      <c r="N52" s="12">
        <v>6</v>
      </c>
      <c r="O52" s="12">
        <v>7</v>
      </c>
      <c r="P52" s="12">
        <v>6</v>
      </c>
      <c r="Q52" s="12">
        <v>7</v>
      </c>
      <c r="R52" s="12">
        <v>1</v>
      </c>
      <c r="S52" s="12">
        <v>7</v>
      </c>
      <c r="T52" s="12">
        <v>7</v>
      </c>
      <c r="U52" s="12">
        <v>7</v>
      </c>
      <c r="V52" s="12">
        <v>1</v>
      </c>
      <c r="W52" s="12">
        <v>7</v>
      </c>
      <c r="X52" s="12">
        <v>1</v>
      </c>
      <c r="Y52" s="12">
        <v>7</v>
      </c>
      <c r="Z52" s="12">
        <v>5</v>
      </c>
      <c r="AA52" s="13">
        <v>6.736842105</v>
      </c>
    </row>
    <row r="53" spans="1:27" x14ac:dyDescent="0.25">
      <c r="A53" s="11">
        <v>13</v>
      </c>
      <c r="B53" s="11" t="s">
        <v>14</v>
      </c>
      <c r="C53" s="11">
        <v>1</v>
      </c>
      <c r="D53" s="11">
        <v>4</v>
      </c>
      <c r="E53" s="12">
        <v>7</v>
      </c>
      <c r="F53" s="12">
        <v>7</v>
      </c>
      <c r="G53" s="12">
        <v>7</v>
      </c>
      <c r="H53" s="12">
        <v>7</v>
      </c>
      <c r="I53" s="12">
        <v>6</v>
      </c>
      <c r="J53" s="12">
        <v>7</v>
      </c>
      <c r="K53" s="12">
        <v>7</v>
      </c>
      <c r="L53" s="12">
        <v>7</v>
      </c>
      <c r="M53" s="12">
        <v>7</v>
      </c>
      <c r="N53" s="12">
        <v>6</v>
      </c>
      <c r="O53" s="12">
        <v>7</v>
      </c>
      <c r="P53" s="12">
        <v>7</v>
      </c>
      <c r="Q53" s="12">
        <v>7</v>
      </c>
      <c r="R53" s="12">
        <v>1</v>
      </c>
      <c r="S53" s="12">
        <v>7</v>
      </c>
      <c r="T53" s="12">
        <v>7</v>
      </c>
      <c r="U53" s="12">
        <v>7</v>
      </c>
      <c r="V53" s="12">
        <v>1</v>
      </c>
      <c r="W53" s="12">
        <v>7</v>
      </c>
      <c r="X53" s="12">
        <v>8</v>
      </c>
      <c r="Y53" s="12">
        <v>0</v>
      </c>
      <c r="Z53" s="12">
        <v>5</v>
      </c>
      <c r="AA53" s="13">
        <v>6.4210526320000003</v>
      </c>
    </row>
    <row r="54" spans="1:27" x14ac:dyDescent="0.25">
      <c r="A54" s="14">
        <v>14</v>
      </c>
      <c r="B54" s="14" t="s">
        <v>11</v>
      </c>
      <c r="C54" s="14">
        <v>3</v>
      </c>
      <c r="D54" s="14">
        <v>3</v>
      </c>
      <c r="E54" s="18">
        <v>6</v>
      </c>
      <c r="F54" s="18">
        <v>6</v>
      </c>
      <c r="G54" s="18">
        <v>5</v>
      </c>
      <c r="H54" s="18">
        <v>6</v>
      </c>
      <c r="I54" s="18">
        <v>5</v>
      </c>
      <c r="J54" s="18">
        <v>5</v>
      </c>
      <c r="K54" s="18">
        <v>5</v>
      </c>
      <c r="L54" s="18">
        <v>6</v>
      </c>
      <c r="M54" s="18">
        <v>6</v>
      </c>
      <c r="N54" s="18">
        <v>6</v>
      </c>
      <c r="O54" s="18">
        <v>6</v>
      </c>
      <c r="P54" s="18">
        <v>6</v>
      </c>
      <c r="Q54" s="18">
        <v>5</v>
      </c>
      <c r="R54" s="18">
        <v>2</v>
      </c>
      <c r="S54" s="15">
        <v>6</v>
      </c>
      <c r="T54" s="15">
        <v>7</v>
      </c>
      <c r="U54" s="15">
        <v>7</v>
      </c>
      <c r="V54" s="15">
        <v>2</v>
      </c>
      <c r="W54" s="15">
        <v>6</v>
      </c>
      <c r="X54" s="15">
        <v>8</v>
      </c>
      <c r="Y54" s="15">
        <v>0</v>
      </c>
      <c r="Z54" s="18">
        <v>3</v>
      </c>
      <c r="AA54" s="13">
        <v>5.3684210529999996</v>
      </c>
    </row>
    <row r="55" spans="1:27" x14ac:dyDescent="0.25">
      <c r="A55" s="14">
        <v>14</v>
      </c>
      <c r="B55" s="14" t="s">
        <v>12</v>
      </c>
      <c r="C55" s="14">
        <v>3</v>
      </c>
      <c r="D55" s="14">
        <v>4</v>
      </c>
      <c r="E55" s="18">
        <v>5</v>
      </c>
      <c r="F55" s="18">
        <v>4</v>
      </c>
      <c r="G55" s="18">
        <v>5</v>
      </c>
      <c r="H55" s="18">
        <v>6</v>
      </c>
      <c r="I55" s="18">
        <v>6</v>
      </c>
      <c r="J55" s="18">
        <v>5</v>
      </c>
      <c r="K55" s="18">
        <v>5</v>
      </c>
      <c r="L55" s="18">
        <v>5</v>
      </c>
      <c r="M55" s="18">
        <v>6</v>
      </c>
      <c r="N55" s="18">
        <v>6</v>
      </c>
      <c r="O55" s="18">
        <v>6</v>
      </c>
      <c r="P55" s="18">
        <v>5</v>
      </c>
      <c r="Q55" s="18">
        <v>5</v>
      </c>
      <c r="R55" s="18">
        <v>2</v>
      </c>
      <c r="S55" s="15">
        <v>6</v>
      </c>
      <c r="T55" s="15">
        <v>7</v>
      </c>
      <c r="U55" s="15">
        <v>7</v>
      </c>
      <c r="V55" s="15">
        <v>2</v>
      </c>
      <c r="W55" s="15">
        <v>6</v>
      </c>
      <c r="X55" s="15">
        <v>5</v>
      </c>
      <c r="Y55" s="15">
        <v>3</v>
      </c>
      <c r="Z55" s="18">
        <v>3</v>
      </c>
      <c r="AA55" s="13">
        <v>5.3157894739999998</v>
      </c>
    </row>
    <row r="56" spans="1:27" x14ac:dyDescent="0.25">
      <c r="A56" s="14">
        <v>14</v>
      </c>
      <c r="B56" s="14" t="s">
        <v>13</v>
      </c>
      <c r="C56" s="14">
        <v>3</v>
      </c>
      <c r="D56" s="14">
        <v>1</v>
      </c>
      <c r="E56" s="18">
        <v>6</v>
      </c>
      <c r="F56" s="18">
        <v>6</v>
      </c>
      <c r="G56" s="18">
        <v>6</v>
      </c>
      <c r="H56" s="18">
        <v>6</v>
      </c>
      <c r="I56" s="18">
        <v>6</v>
      </c>
      <c r="J56" s="18">
        <v>6</v>
      </c>
      <c r="K56" s="18">
        <v>5</v>
      </c>
      <c r="L56" s="18">
        <v>6</v>
      </c>
      <c r="M56" s="18">
        <v>7</v>
      </c>
      <c r="N56" s="18">
        <v>7</v>
      </c>
      <c r="O56" s="18">
        <v>6</v>
      </c>
      <c r="P56" s="18">
        <v>5</v>
      </c>
      <c r="Q56" s="18">
        <v>5</v>
      </c>
      <c r="R56" s="18">
        <v>2</v>
      </c>
      <c r="S56" s="15">
        <v>6</v>
      </c>
      <c r="T56" s="15">
        <v>7</v>
      </c>
      <c r="U56" s="15">
        <v>7</v>
      </c>
      <c r="V56" s="15">
        <v>1</v>
      </c>
      <c r="W56" s="15">
        <v>7</v>
      </c>
      <c r="X56" s="15">
        <v>1</v>
      </c>
      <c r="Y56" s="15">
        <v>7</v>
      </c>
      <c r="Z56" s="18">
        <v>7</v>
      </c>
      <c r="AA56" s="13">
        <v>6.2105263160000002</v>
      </c>
    </row>
    <row r="57" spans="1:27" x14ac:dyDescent="0.25">
      <c r="A57" s="14">
        <v>14</v>
      </c>
      <c r="B57" s="14" t="s">
        <v>14</v>
      </c>
      <c r="C57" s="14">
        <v>3</v>
      </c>
      <c r="D57" s="14">
        <v>2</v>
      </c>
      <c r="E57" s="18">
        <v>6</v>
      </c>
      <c r="F57" s="18">
        <v>7</v>
      </c>
      <c r="G57" s="18">
        <v>7</v>
      </c>
      <c r="H57" s="18">
        <v>6</v>
      </c>
      <c r="I57" s="18">
        <v>7</v>
      </c>
      <c r="J57" s="18">
        <v>6</v>
      </c>
      <c r="K57" s="18">
        <v>6</v>
      </c>
      <c r="L57" s="18">
        <v>7</v>
      </c>
      <c r="M57" s="18">
        <v>6</v>
      </c>
      <c r="N57" s="18">
        <v>6</v>
      </c>
      <c r="O57" s="18">
        <v>7</v>
      </c>
      <c r="P57" s="18">
        <v>6</v>
      </c>
      <c r="Q57" s="18">
        <v>6</v>
      </c>
      <c r="R57" s="18">
        <v>1</v>
      </c>
      <c r="S57" s="15">
        <v>7</v>
      </c>
      <c r="T57" s="15">
        <v>7</v>
      </c>
      <c r="U57" s="15">
        <v>7</v>
      </c>
      <c r="V57" s="15">
        <v>1</v>
      </c>
      <c r="W57" s="15">
        <v>7</v>
      </c>
      <c r="X57" s="15">
        <v>8</v>
      </c>
      <c r="Y57" s="15">
        <v>0</v>
      </c>
      <c r="Z57" s="18">
        <v>7</v>
      </c>
      <c r="AA57" s="13">
        <v>6.2105263160000002</v>
      </c>
    </row>
    <row r="58" spans="1:27" x14ac:dyDescent="0.25">
      <c r="A58" s="11">
        <v>15</v>
      </c>
      <c r="B58" s="11" t="s">
        <v>11</v>
      </c>
      <c r="C58" s="11">
        <v>1</v>
      </c>
      <c r="D58" s="11">
        <v>1</v>
      </c>
      <c r="E58" s="12">
        <v>6</v>
      </c>
      <c r="F58" s="12">
        <v>7</v>
      </c>
      <c r="G58" s="12">
        <v>7</v>
      </c>
      <c r="H58" s="12">
        <v>6</v>
      </c>
      <c r="I58" s="12">
        <v>7</v>
      </c>
      <c r="J58" s="12">
        <v>5</v>
      </c>
      <c r="K58" s="12">
        <v>5</v>
      </c>
      <c r="L58" s="12">
        <v>7</v>
      </c>
      <c r="M58" s="12">
        <v>7</v>
      </c>
      <c r="N58" s="12">
        <v>7</v>
      </c>
      <c r="O58" s="12">
        <v>6</v>
      </c>
      <c r="P58" s="12">
        <v>5</v>
      </c>
      <c r="Q58" s="12">
        <v>7</v>
      </c>
      <c r="R58" s="12">
        <v>1</v>
      </c>
      <c r="S58" s="12">
        <v>7</v>
      </c>
      <c r="T58" s="12">
        <v>7</v>
      </c>
      <c r="U58" s="12">
        <v>7</v>
      </c>
      <c r="V58" s="12">
        <v>7</v>
      </c>
      <c r="W58" s="12">
        <v>1</v>
      </c>
      <c r="X58" s="12">
        <v>8</v>
      </c>
      <c r="Y58" s="12">
        <v>0</v>
      </c>
      <c r="Z58" s="12">
        <v>7</v>
      </c>
      <c r="AA58" s="13">
        <v>5.8421052629999997</v>
      </c>
    </row>
    <row r="59" spans="1:27" x14ac:dyDescent="0.25">
      <c r="A59" s="11">
        <v>15</v>
      </c>
      <c r="B59" s="11" t="s">
        <v>12</v>
      </c>
      <c r="C59" s="11">
        <v>1</v>
      </c>
      <c r="D59" s="11">
        <v>2</v>
      </c>
      <c r="E59" s="12">
        <v>6</v>
      </c>
      <c r="F59" s="12">
        <v>7</v>
      </c>
      <c r="G59" s="12">
        <v>7</v>
      </c>
      <c r="H59" s="12">
        <v>6</v>
      </c>
      <c r="I59" s="12">
        <v>7</v>
      </c>
      <c r="J59" s="12">
        <v>6</v>
      </c>
      <c r="K59" s="12">
        <v>5</v>
      </c>
      <c r="L59" s="12">
        <v>7</v>
      </c>
      <c r="M59" s="12">
        <v>7</v>
      </c>
      <c r="N59" s="12">
        <v>7</v>
      </c>
      <c r="O59" s="12">
        <v>5</v>
      </c>
      <c r="P59" s="12">
        <v>5</v>
      </c>
      <c r="Q59" s="12">
        <v>7</v>
      </c>
      <c r="R59" s="12">
        <v>1</v>
      </c>
      <c r="S59" s="12">
        <v>7</v>
      </c>
      <c r="T59" s="12">
        <v>7</v>
      </c>
      <c r="U59" s="12">
        <v>7</v>
      </c>
      <c r="V59" s="12">
        <v>1</v>
      </c>
      <c r="W59" s="12">
        <v>7</v>
      </c>
      <c r="X59" s="12">
        <v>8</v>
      </c>
      <c r="Y59" s="12">
        <v>0</v>
      </c>
      <c r="Z59" s="12">
        <v>7</v>
      </c>
      <c r="AA59" s="13">
        <v>6.1578947370000003</v>
      </c>
    </row>
    <row r="60" spans="1:27" x14ac:dyDescent="0.25">
      <c r="A60" s="11">
        <v>15</v>
      </c>
      <c r="B60" s="11" t="s">
        <v>13</v>
      </c>
      <c r="C60" s="11">
        <v>1</v>
      </c>
      <c r="D60" s="11">
        <v>3</v>
      </c>
      <c r="E60" s="12">
        <v>7</v>
      </c>
      <c r="F60" s="12">
        <v>7</v>
      </c>
      <c r="G60" s="12">
        <v>5</v>
      </c>
      <c r="H60" s="12">
        <v>7</v>
      </c>
      <c r="I60" s="12">
        <v>7</v>
      </c>
      <c r="J60" s="12">
        <v>6</v>
      </c>
      <c r="K60" s="12">
        <v>6</v>
      </c>
      <c r="L60" s="12">
        <v>7</v>
      </c>
      <c r="M60" s="12">
        <v>7</v>
      </c>
      <c r="N60" s="12">
        <v>7</v>
      </c>
      <c r="O60" s="12">
        <v>5</v>
      </c>
      <c r="P60" s="12">
        <v>5</v>
      </c>
      <c r="Q60" s="12">
        <v>7</v>
      </c>
      <c r="R60" s="12">
        <v>1</v>
      </c>
      <c r="S60" s="12">
        <v>7</v>
      </c>
      <c r="T60" s="12">
        <v>7</v>
      </c>
      <c r="U60" s="12">
        <v>7</v>
      </c>
      <c r="V60" s="12">
        <v>2</v>
      </c>
      <c r="W60" s="12">
        <v>6</v>
      </c>
      <c r="X60" s="12">
        <v>8</v>
      </c>
      <c r="Y60" s="12">
        <v>0</v>
      </c>
      <c r="Z60" s="12">
        <v>7</v>
      </c>
      <c r="AA60" s="13">
        <v>6.1578947370000003</v>
      </c>
    </row>
    <row r="61" spans="1:27" x14ac:dyDescent="0.25">
      <c r="A61" s="11">
        <v>15</v>
      </c>
      <c r="B61" s="11" t="s">
        <v>14</v>
      </c>
      <c r="C61" s="11">
        <v>1</v>
      </c>
      <c r="D61" s="11">
        <v>4</v>
      </c>
      <c r="E61" s="12">
        <v>7</v>
      </c>
      <c r="F61" s="12">
        <v>7</v>
      </c>
      <c r="G61" s="12">
        <v>7</v>
      </c>
      <c r="H61" s="12">
        <v>7</v>
      </c>
      <c r="I61" s="12">
        <v>7</v>
      </c>
      <c r="J61" s="12">
        <v>6</v>
      </c>
      <c r="K61" s="12">
        <v>6</v>
      </c>
      <c r="L61" s="12">
        <v>7</v>
      </c>
      <c r="M61" s="12">
        <v>7</v>
      </c>
      <c r="N61" s="12">
        <v>7</v>
      </c>
      <c r="O61" s="12">
        <v>6</v>
      </c>
      <c r="P61" s="12">
        <v>5</v>
      </c>
      <c r="Q61" s="12">
        <v>7</v>
      </c>
      <c r="R61" s="12">
        <v>1</v>
      </c>
      <c r="S61" s="12">
        <v>7</v>
      </c>
      <c r="T61" s="12">
        <v>7</v>
      </c>
      <c r="U61" s="12">
        <v>7</v>
      </c>
      <c r="V61" s="12">
        <v>1</v>
      </c>
      <c r="W61" s="12">
        <v>7</v>
      </c>
      <c r="X61" s="12">
        <v>8</v>
      </c>
      <c r="Y61" s="12">
        <v>0</v>
      </c>
      <c r="Z61" s="12">
        <v>7</v>
      </c>
      <c r="AA61" s="13">
        <v>6.3684210529999996</v>
      </c>
    </row>
    <row r="62" spans="1:27" x14ac:dyDescent="0.25">
      <c r="A62" s="14">
        <v>16</v>
      </c>
      <c r="B62" s="14" t="s">
        <v>11</v>
      </c>
      <c r="C62" s="14">
        <v>2</v>
      </c>
      <c r="D62" s="14">
        <v>2</v>
      </c>
      <c r="E62" s="18">
        <v>6</v>
      </c>
      <c r="F62" s="18">
        <v>6</v>
      </c>
      <c r="G62" s="18">
        <v>6</v>
      </c>
      <c r="H62" s="18">
        <v>6</v>
      </c>
      <c r="I62" s="18">
        <v>5</v>
      </c>
      <c r="J62" s="18">
        <v>4</v>
      </c>
      <c r="K62" s="18">
        <v>4</v>
      </c>
      <c r="L62" s="18">
        <v>7</v>
      </c>
      <c r="M62" s="18">
        <v>6</v>
      </c>
      <c r="N62" s="18">
        <v>6</v>
      </c>
      <c r="O62" s="18">
        <v>7</v>
      </c>
      <c r="P62" s="18">
        <v>7</v>
      </c>
      <c r="Q62" s="18">
        <v>6</v>
      </c>
      <c r="R62" s="18">
        <v>1</v>
      </c>
      <c r="S62" s="15">
        <v>7</v>
      </c>
      <c r="T62" s="15">
        <v>7</v>
      </c>
      <c r="U62" s="15">
        <v>6</v>
      </c>
      <c r="V62" s="15">
        <v>1</v>
      </c>
      <c r="W62" s="15">
        <v>7</v>
      </c>
      <c r="X62" s="15">
        <v>1</v>
      </c>
      <c r="Y62" s="15">
        <v>7</v>
      </c>
      <c r="Z62" s="18">
        <v>7</v>
      </c>
      <c r="AA62" s="13">
        <v>6.1578947370000003</v>
      </c>
    </row>
    <row r="63" spans="1:27" x14ac:dyDescent="0.25">
      <c r="A63" s="14">
        <v>16</v>
      </c>
      <c r="B63" s="14" t="s">
        <v>12</v>
      </c>
      <c r="C63" s="14">
        <v>2</v>
      </c>
      <c r="D63" s="14">
        <v>1</v>
      </c>
      <c r="E63" s="18">
        <v>6</v>
      </c>
      <c r="F63" s="18">
        <v>7</v>
      </c>
      <c r="G63" s="18">
        <v>5</v>
      </c>
      <c r="H63" s="18">
        <v>5</v>
      </c>
      <c r="I63" s="18">
        <v>4</v>
      </c>
      <c r="J63" s="18">
        <v>6</v>
      </c>
      <c r="K63" s="18">
        <v>4</v>
      </c>
      <c r="L63" s="18">
        <v>6</v>
      </c>
      <c r="M63" s="18">
        <v>7</v>
      </c>
      <c r="N63" s="18">
        <v>6</v>
      </c>
      <c r="O63" s="18">
        <v>7</v>
      </c>
      <c r="P63" s="18">
        <v>7</v>
      </c>
      <c r="Q63" s="18">
        <v>6</v>
      </c>
      <c r="R63" s="18">
        <v>1</v>
      </c>
      <c r="S63" s="15">
        <v>7</v>
      </c>
      <c r="T63" s="15">
        <v>7</v>
      </c>
      <c r="U63" s="15">
        <v>6</v>
      </c>
      <c r="V63" s="15">
        <v>5</v>
      </c>
      <c r="W63" s="15">
        <v>3</v>
      </c>
      <c r="X63" s="15">
        <v>1</v>
      </c>
      <c r="Y63" s="15">
        <v>7</v>
      </c>
      <c r="Z63" s="18">
        <v>7</v>
      </c>
      <c r="AA63" s="13">
        <v>5.9473684210000002</v>
      </c>
    </row>
    <row r="64" spans="1:27" x14ac:dyDescent="0.25">
      <c r="A64" s="14">
        <v>16</v>
      </c>
      <c r="B64" s="14" t="s">
        <v>13</v>
      </c>
      <c r="C64" s="14">
        <v>2</v>
      </c>
      <c r="D64" s="14">
        <v>4</v>
      </c>
      <c r="E64" s="18">
        <v>6</v>
      </c>
      <c r="F64" s="18">
        <v>7</v>
      </c>
      <c r="G64" s="18">
        <v>5</v>
      </c>
      <c r="H64" s="18">
        <v>6</v>
      </c>
      <c r="I64" s="18">
        <v>6</v>
      </c>
      <c r="J64" s="18">
        <v>7</v>
      </c>
      <c r="K64" s="18">
        <v>5</v>
      </c>
      <c r="L64" s="18">
        <v>7</v>
      </c>
      <c r="M64" s="18">
        <v>7</v>
      </c>
      <c r="N64" s="18">
        <v>7</v>
      </c>
      <c r="O64" s="18">
        <v>7</v>
      </c>
      <c r="P64" s="18">
        <v>7</v>
      </c>
      <c r="Q64" s="18">
        <v>7</v>
      </c>
      <c r="R64" s="18">
        <v>1</v>
      </c>
      <c r="S64" s="15">
        <v>7</v>
      </c>
      <c r="T64" s="15">
        <v>7</v>
      </c>
      <c r="U64" s="15">
        <v>7</v>
      </c>
      <c r="V64" s="15">
        <v>1</v>
      </c>
      <c r="W64" s="15">
        <v>7</v>
      </c>
      <c r="X64" s="15">
        <v>1</v>
      </c>
      <c r="Y64" s="15">
        <v>7</v>
      </c>
      <c r="Z64" s="18">
        <v>7</v>
      </c>
      <c r="AA64" s="13">
        <v>6.6315789470000004</v>
      </c>
    </row>
    <row r="65" spans="1:27" x14ac:dyDescent="0.25">
      <c r="A65" s="14">
        <v>16</v>
      </c>
      <c r="B65" s="14" t="s">
        <v>14</v>
      </c>
      <c r="C65" s="14">
        <v>2</v>
      </c>
      <c r="D65" s="14">
        <v>3</v>
      </c>
      <c r="E65" s="18">
        <v>7</v>
      </c>
      <c r="F65" s="18">
        <v>7</v>
      </c>
      <c r="G65" s="18">
        <v>7</v>
      </c>
      <c r="H65" s="18">
        <v>6</v>
      </c>
      <c r="I65" s="18">
        <v>6</v>
      </c>
      <c r="J65" s="18">
        <v>7</v>
      </c>
      <c r="K65" s="18">
        <v>5</v>
      </c>
      <c r="L65" s="18">
        <v>7</v>
      </c>
      <c r="M65" s="18">
        <v>7</v>
      </c>
      <c r="N65" s="18">
        <v>7</v>
      </c>
      <c r="O65" s="18">
        <v>7</v>
      </c>
      <c r="P65" s="18">
        <v>7</v>
      </c>
      <c r="Q65" s="18">
        <v>7</v>
      </c>
      <c r="R65" s="18">
        <v>1</v>
      </c>
      <c r="S65" s="15">
        <v>7</v>
      </c>
      <c r="T65" s="15">
        <v>6</v>
      </c>
      <c r="U65" s="15">
        <v>7</v>
      </c>
      <c r="V65" s="15">
        <v>1</v>
      </c>
      <c r="W65" s="15">
        <v>7</v>
      </c>
      <c r="X65" s="15">
        <v>1</v>
      </c>
      <c r="Y65" s="15">
        <v>7</v>
      </c>
      <c r="Z65" s="18">
        <v>7</v>
      </c>
      <c r="AA65" s="13">
        <v>6.736842105</v>
      </c>
    </row>
    <row r="66" spans="1:27" x14ac:dyDescent="0.25">
      <c r="A66" s="11">
        <v>17</v>
      </c>
      <c r="B66" s="11" t="s">
        <v>11</v>
      </c>
      <c r="C66" s="11">
        <v>4</v>
      </c>
      <c r="D66" s="11">
        <v>4</v>
      </c>
      <c r="E66" s="12">
        <v>5</v>
      </c>
      <c r="F66" s="12">
        <v>5</v>
      </c>
      <c r="G66" s="12">
        <v>5</v>
      </c>
      <c r="H66" s="12">
        <v>6</v>
      </c>
      <c r="I66" s="12">
        <v>5</v>
      </c>
      <c r="J66" s="12">
        <v>5</v>
      </c>
      <c r="K66" s="12">
        <v>5</v>
      </c>
      <c r="L66" s="12">
        <v>4</v>
      </c>
      <c r="M66" s="12">
        <v>5</v>
      </c>
      <c r="N66" s="12">
        <v>5</v>
      </c>
      <c r="O66" s="12">
        <v>5</v>
      </c>
      <c r="P66" s="12">
        <v>5</v>
      </c>
      <c r="Q66" s="12">
        <v>2</v>
      </c>
      <c r="R66" s="12">
        <v>1</v>
      </c>
      <c r="S66" s="12">
        <v>7</v>
      </c>
      <c r="T66" s="12">
        <v>7</v>
      </c>
      <c r="U66" s="12">
        <v>7</v>
      </c>
      <c r="V66" s="12">
        <v>1</v>
      </c>
      <c r="W66" s="12">
        <v>7</v>
      </c>
      <c r="X66" s="12">
        <v>7</v>
      </c>
      <c r="Y66" s="12">
        <v>1</v>
      </c>
      <c r="Z66" s="12">
        <v>4</v>
      </c>
      <c r="AA66" s="13">
        <v>5</v>
      </c>
    </row>
    <row r="67" spans="1:27" x14ac:dyDescent="0.25">
      <c r="A67" s="11">
        <v>17</v>
      </c>
      <c r="B67" s="11" t="s">
        <v>12</v>
      </c>
      <c r="C67" s="11">
        <v>4</v>
      </c>
      <c r="D67" s="11">
        <v>3</v>
      </c>
      <c r="E67" s="12">
        <v>5</v>
      </c>
      <c r="F67" s="12">
        <v>6</v>
      </c>
      <c r="G67" s="12">
        <v>4</v>
      </c>
      <c r="H67" s="12">
        <v>4</v>
      </c>
      <c r="I67" s="12">
        <v>5</v>
      </c>
      <c r="J67" s="12">
        <v>5</v>
      </c>
      <c r="K67" s="12">
        <v>6</v>
      </c>
      <c r="L67" s="12">
        <v>6</v>
      </c>
      <c r="M67" s="12">
        <v>4</v>
      </c>
      <c r="N67" s="12">
        <v>4</v>
      </c>
      <c r="O67" s="12">
        <v>5</v>
      </c>
      <c r="P67" s="12">
        <v>6</v>
      </c>
      <c r="Q67" s="12">
        <v>3</v>
      </c>
      <c r="R67" s="12">
        <v>1</v>
      </c>
      <c r="S67" s="12">
        <v>7</v>
      </c>
      <c r="T67" s="12">
        <v>7</v>
      </c>
      <c r="U67" s="12">
        <v>6</v>
      </c>
      <c r="V67" s="12">
        <v>1</v>
      </c>
      <c r="W67" s="12">
        <v>7</v>
      </c>
      <c r="X67" s="12">
        <v>6</v>
      </c>
      <c r="Y67" s="12">
        <v>2</v>
      </c>
      <c r="Z67" s="12">
        <v>5</v>
      </c>
      <c r="AA67" s="13">
        <v>5.1052631579999996</v>
      </c>
    </row>
    <row r="68" spans="1:27" x14ac:dyDescent="0.25">
      <c r="A68" s="11">
        <v>17</v>
      </c>
      <c r="B68" s="11" t="s">
        <v>13</v>
      </c>
      <c r="C68" s="11">
        <v>4</v>
      </c>
      <c r="D68" s="11">
        <v>2</v>
      </c>
      <c r="E68" s="12">
        <v>6</v>
      </c>
      <c r="F68" s="12">
        <v>6</v>
      </c>
      <c r="G68" s="12">
        <v>6</v>
      </c>
      <c r="H68" s="12">
        <v>6</v>
      </c>
      <c r="I68" s="12">
        <v>6</v>
      </c>
      <c r="J68" s="12">
        <v>6</v>
      </c>
      <c r="K68" s="12">
        <v>6</v>
      </c>
      <c r="L68" s="12">
        <v>7</v>
      </c>
      <c r="M68" s="12">
        <v>6</v>
      </c>
      <c r="N68" s="12">
        <v>5</v>
      </c>
      <c r="O68" s="12">
        <v>6</v>
      </c>
      <c r="P68" s="12">
        <v>5</v>
      </c>
      <c r="Q68" s="12">
        <v>6</v>
      </c>
      <c r="R68" s="12">
        <v>2</v>
      </c>
      <c r="S68" s="12">
        <v>6</v>
      </c>
      <c r="T68" s="12">
        <v>7</v>
      </c>
      <c r="U68" s="12">
        <v>7</v>
      </c>
      <c r="V68" s="12">
        <v>1</v>
      </c>
      <c r="W68" s="12">
        <v>7</v>
      </c>
      <c r="X68" s="12">
        <v>1</v>
      </c>
      <c r="Y68" s="12">
        <v>7</v>
      </c>
      <c r="Z68" s="12">
        <v>7</v>
      </c>
      <c r="AA68" s="13">
        <v>6.2105263160000002</v>
      </c>
    </row>
    <row r="69" spans="1:27" x14ac:dyDescent="0.25">
      <c r="A69" s="11">
        <v>17</v>
      </c>
      <c r="B69" s="11" t="s">
        <v>14</v>
      </c>
      <c r="C69" s="11">
        <v>4</v>
      </c>
      <c r="D69" s="11">
        <v>1</v>
      </c>
      <c r="E69" s="12">
        <v>6</v>
      </c>
      <c r="F69" s="12">
        <v>7</v>
      </c>
      <c r="G69" s="12">
        <v>6</v>
      </c>
      <c r="H69" s="12">
        <v>4</v>
      </c>
      <c r="I69" s="12">
        <v>5</v>
      </c>
      <c r="J69" s="12">
        <v>5</v>
      </c>
      <c r="K69" s="12">
        <v>5</v>
      </c>
      <c r="L69" s="12">
        <v>7</v>
      </c>
      <c r="M69" s="12">
        <v>6</v>
      </c>
      <c r="N69" s="12">
        <v>4</v>
      </c>
      <c r="O69" s="12">
        <v>5</v>
      </c>
      <c r="P69" s="12">
        <v>6</v>
      </c>
      <c r="Q69" s="12">
        <v>5</v>
      </c>
      <c r="R69" s="12">
        <v>2</v>
      </c>
      <c r="S69" s="12">
        <v>6</v>
      </c>
      <c r="T69" s="12">
        <v>7</v>
      </c>
      <c r="U69" s="12">
        <v>7</v>
      </c>
      <c r="V69" s="12">
        <v>2</v>
      </c>
      <c r="W69" s="12">
        <v>6</v>
      </c>
      <c r="X69" s="12">
        <v>8</v>
      </c>
      <c r="Y69" s="12">
        <v>0</v>
      </c>
      <c r="Z69" s="12">
        <v>5</v>
      </c>
      <c r="AA69" s="13">
        <v>5.3684210529999996</v>
      </c>
    </row>
    <row r="70" spans="1:27" x14ac:dyDescent="0.25">
      <c r="A70" s="14">
        <v>18</v>
      </c>
      <c r="B70" s="14" t="s">
        <v>11</v>
      </c>
      <c r="C70" s="14">
        <v>3</v>
      </c>
      <c r="D70" s="14">
        <v>3</v>
      </c>
      <c r="E70" s="18">
        <v>7</v>
      </c>
      <c r="F70" s="18">
        <v>7</v>
      </c>
      <c r="G70" s="18">
        <v>6</v>
      </c>
      <c r="H70" s="18">
        <v>7</v>
      </c>
      <c r="I70" s="18">
        <v>7</v>
      </c>
      <c r="J70" s="18">
        <v>6</v>
      </c>
      <c r="K70" s="18">
        <v>6</v>
      </c>
      <c r="L70" s="18">
        <v>7</v>
      </c>
      <c r="M70" s="18">
        <v>6</v>
      </c>
      <c r="N70" s="18">
        <v>6</v>
      </c>
      <c r="O70" s="18">
        <v>6</v>
      </c>
      <c r="P70" s="18">
        <v>6</v>
      </c>
      <c r="Q70" s="18">
        <v>6</v>
      </c>
      <c r="R70" s="18">
        <v>1</v>
      </c>
      <c r="S70" s="15">
        <v>7</v>
      </c>
      <c r="T70" s="15">
        <v>7</v>
      </c>
      <c r="U70" s="15">
        <v>6</v>
      </c>
      <c r="V70" s="15">
        <v>1</v>
      </c>
      <c r="W70" s="15">
        <v>7</v>
      </c>
      <c r="X70" s="15">
        <v>1</v>
      </c>
      <c r="Y70" s="15">
        <v>7</v>
      </c>
      <c r="Z70" s="18">
        <v>6</v>
      </c>
      <c r="AA70" s="13">
        <v>6.4736842110000001</v>
      </c>
    </row>
    <row r="71" spans="1:27" x14ac:dyDescent="0.25">
      <c r="A71" s="14">
        <v>18</v>
      </c>
      <c r="B71" s="14" t="s">
        <v>12</v>
      </c>
      <c r="C71" s="14">
        <v>3</v>
      </c>
      <c r="D71" s="14">
        <v>4</v>
      </c>
      <c r="E71" s="18">
        <v>7</v>
      </c>
      <c r="F71" s="18">
        <v>6</v>
      </c>
      <c r="G71" s="18">
        <v>6</v>
      </c>
      <c r="H71" s="18">
        <v>6</v>
      </c>
      <c r="I71" s="18">
        <v>7</v>
      </c>
      <c r="J71" s="18">
        <v>6</v>
      </c>
      <c r="K71" s="18">
        <v>6</v>
      </c>
      <c r="L71" s="18">
        <v>6</v>
      </c>
      <c r="M71" s="18">
        <v>6</v>
      </c>
      <c r="N71" s="18">
        <v>7</v>
      </c>
      <c r="O71" s="18">
        <v>6</v>
      </c>
      <c r="P71" s="18">
        <v>6</v>
      </c>
      <c r="Q71" s="18">
        <v>5</v>
      </c>
      <c r="R71" s="18">
        <v>1</v>
      </c>
      <c r="S71" s="15">
        <v>7</v>
      </c>
      <c r="T71" s="15">
        <v>7</v>
      </c>
      <c r="U71" s="15">
        <v>7</v>
      </c>
      <c r="V71" s="15">
        <v>1</v>
      </c>
      <c r="W71" s="15">
        <v>7</v>
      </c>
      <c r="X71" s="15">
        <v>1</v>
      </c>
      <c r="Y71" s="15">
        <v>7</v>
      </c>
      <c r="Z71" s="18">
        <v>6</v>
      </c>
      <c r="AA71" s="13">
        <v>6.3684210529999996</v>
      </c>
    </row>
    <row r="72" spans="1:27" x14ac:dyDescent="0.25">
      <c r="A72" s="14">
        <v>18</v>
      </c>
      <c r="B72" s="14" t="s">
        <v>13</v>
      </c>
      <c r="C72" s="14">
        <v>3</v>
      </c>
      <c r="D72" s="14">
        <v>1</v>
      </c>
      <c r="E72" s="18">
        <v>6</v>
      </c>
      <c r="F72" s="18">
        <v>6</v>
      </c>
      <c r="G72" s="18">
        <v>7</v>
      </c>
      <c r="H72" s="18">
        <v>6</v>
      </c>
      <c r="I72" s="18">
        <v>7</v>
      </c>
      <c r="J72" s="18">
        <v>6</v>
      </c>
      <c r="K72" s="18">
        <v>6</v>
      </c>
      <c r="L72" s="18">
        <v>6</v>
      </c>
      <c r="M72" s="18">
        <v>6</v>
      </c>
      <c r="N72" s="18">
        <v>7</v>
      </c>
      <c r="O72" s="18">
        <v>5</v>
      </c>
      <c r="P72" s="18">
        <v>5</v>
      </c>
      <c r="Q72" s="18">
        <v>6</v>
      </c>
      <c r="R72" s="18">
        <v>1</v>
      </c>
      <c r="S72" s="15">
        <v>7</v>
      </c>
      <c r="T72" s="15">
        <v>5</v>
      </c>
      <c r="U72" s="15">
        <v>5</v>
      </c>
      <c r="V72" s="15">
        <v>6</v>
      </c>
      <c r="W72" s="15">
        <v>2</v>
      </c>
      <c r="X72" s="15">
        <v>6</v>
      </c>
      <c r="Y72" s="15">
        <v>2</v>
      </c>
      <c r="Z72" s="18">
        <v>6</v>
      </c>
      <c r="AA72" s="13">
        <v>5.5789473679999997</v>
      </c>
    </row>
    <row r="73" spans="1:27" x14ac:dyDescent="0.25">
      <c r="A73" s="14">
        <v>18</v>
      </c>
      <c r="B73" s="14" t="s">
        <v>14</v>
      </c>
      <c r="C73" s="14">
        <v>3</v>
      </c>
      <c r="D73" s="14">
        <v>2</v>
      </c>
      <c r="E73" s="18">
        <v>7</v>
      </c>
      <c r="F73" s="18">
        <v>7</v>
      </c>
      <c r="G73" s="18">
        <v>6</v>
      </c>
      <c r="H73" s="18">
        <v>6</v>
      </c>
      <c r="I73" s="18">
        <v>7</v>
      </c>
      <c r="J73" s="18">
        <v>7</v>
      </c>
      <c r="K73" s="18">
        <v>6</v>
      </c>
      <c r="L73" s="18">
        <v>7</v>
      </c>
      <c r="M73" s="18">
        <v>6</v>
      </c>
      <c r="N73" s="18">
        <v>7</v>
      </c>
      <c r="O73" s="18">
        <v>7</v>
      </c>
      <c r="P73" s="18">
        <v>6</v>
      </c>
      <c r="Q73" s="18">
        <v>6</v>
      </c>
      <c r="R73" s="18">
        <v>1</v>
      </c>
      <c r="S73" s="15">
        <v>7</v>
      </c>
      <c r="T73" s="15">
        <v>7</v>
      </c>
      <c r="U73" s="15">
        <v>7</v>
      </c>
      <c r="V73" s="15">
        <v>1</v>
      </c>
      <c r="W73" s="15">
        <v>7</v>
      </c>
      <c r="X73" s="15">
        <v>8</v>
      </c>
      <c r="Y73" s="15">
        <v>0</v>
      </c>
      <c r="Z73" s="18">
        <v>6</v>
      </c>
      <c r="AA73" s="13">
        <v>6.263157895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42"/>
  <sheetViews>
    <sheetView zoomScale="95" zoomScaleNormal="95" workbookViewId="0">
      <selection activeCell="F42" sqref="F42"/>
    </sheetView>
  </sheetViews>
  <sheetFormatPr defaultColWidth="8.28515625" defaultRowHeight="14.25" customHeight="1" x14ac:dyDescent="0.25"/>
  <cols>
    <col min="1" max="1" width="12.85546875" customWidth="1"/>
    <col min="2" max="2" width="18.7109375" customWidth="1"/>
    <col min="3" max="3" width="13.7109375" customWidth="1"/>
    <col min="4" max="4" width="11.5703125" style="1" customWidth="1"/>
    <col min="5" max="5" width="8.85546875" style="1" customWidth="1"/>
    <col min="6" max="6" width="10.85546875" style="1" customWidth="1"/>
  </cols>
  <sheetData>
    <row r="1" spans="1:6" s="20" customFormat="1" x14ac:dyDescent="0.25">
      <c r="A1" s="8" t="s">
        <v>0</v>
      </c>
      <c r="B1" s="8" t="s">
        <v>1</v>
      </c>
      <c r="C1" s="10" t="s">
        <v>39</v>
      </c>
      <c r="D1" s="19" t="s">
        <v>4</v>
      </c>
      <c r="E1" s="19" t="s">
        <v>5</v>
      </c>
      <c r="F1" s="19" t="s">
        <v>6</v>
      </c>
    </row>
    <row r="2" spans="1:6" x14ac:dyDescent="0.25">
      <c r="A2" s="11">
        <v>1</v>
      </c>
      <c r="B2" s="11" t="s">
        <v>11</v>
      </c>
      <c r="C2" s="13">
        <v>5.8947368420000004</v>
      </c>
      <c r="D2" s="3">
        <v>3</v>
      </c>
      <c r="E2" s="3">
        <v>2.5</v>
      </c>
      <c r="F2" s="3">
        <f t="shared" ref="F2:F33" si="0">E2-D2</f>
        <v>-0.5</v>
      </c>
    </row>
    <row r="3" spans="1:6" x14ac:dyDescent="0.25">
      <c r="A3" s="11">
        <v>1</v>
      </c>
      <c r="B3" s="11" t="s">
        <v>12</v>
      </c>
      <c r="C3" s="13">
        <v>5.5789473679999997</v>
      </c>
      <c r="D3" s="3">
        <v>3</v>
      </c>
      <c r="E3" s="3">
        <v>2</v>
      </c>
      <c r="F3" s="3">
        <f t="shared" si="0"/>
        <v>-1</v>
      </c>
    </row>
    <row r="4" spans="1:6" x14ac:dyDescent="0.25">
      <c r="A4" s="11">
        <v>1</v>
      </c>
      <c r="B4" s="11" t="s">
        <v>13</v>
      </c>
      <c r="C4" s="13">
        <v>5.9473684210000002</v>
      </c>
      <c r="D4" s="3">
        <v>3</v>
      </c>
      <c r="E4" s="3">
        <v>3</v>
      </c>
      <c r="F4" s="3">
        <f t="shared" si="0"/>
        <v>0</v>
      </c>
    </row>
    <row r="5" spans="1:6" x14ac:dyDescent="0.25">
      <c r="A5" s="11">
        <v>1</v>
      </c>
      <c r="B5" s="11" t="s">
        <v>14</v>
      </c>
      <c r="C5" s="13">
        <v>6.1052631579999996</v>
      </c>
      <c r="D5" s="3">
        <v>3</v>
      </c>
      <c r="E5" s="3">
        <v>1.7</v>
      </c>
      <c r="F5" s="3">
        <f t="shared" si="0"/>
        <v>-1.3</v>
      </c>
    </row>
    <row r="6" spans="1:6" x14ac:dyDescent="0.25">
      <c r="A6" s="14">
        <v>2</v>
      </c>
      <c r="B6" s="14" t="s">
        <v>11</v>
      </c>
      <c r="C6" s="13">
        <v>6.0526315789999998</v>
      </c>
      <c r="D6" s="2">
        <v>4</v>
      </c>
      <c r="E6" s="2">
        <v>2</v>
      </c>
      <c r="F6" s="2">
        <f t="shared" si="0"/>
        <v>-2</v>
      </c>
    </row>
    <row r="7" spans="1:6" x14ac:dyDescent="0.25">
      <c r="A7" s="14">
        <v>2</v>
      </c>
      <c r="B7" s="14" t="s">
        <v>12</v>
      </c>
      <c r="C7" s="13">
        <v>5.5789473679999997</v>
      </c>
      <c r="D7" s="2">
        <v>4</v>
      </c>
      <c r="E7" s="2">
        <v>3</v>
      </c>
      <c r="F7" s="2">
        <f t="shared" si="0"/>
        <v>-1</v>
      </c>
    </row>
    <row r="8" spans="1:6" x14ac:dyDescent="0.25">
      <c r="A8" s="14">
        <v>2</v>
      </c>
      <c r="B8" s="14" t="s">
        <v>13</v>
      </c>
      <c r="C8" s="13">
        <v>5.263157895</v>
      </c>
      <c r="D8" s="2">
        <v>4</v>
      </c>
      <c r="E8" s="2">
        <v>2</v>
      </c>
      <c r="F8" s="2">
        <f t="shared" si="0"/>
        <v>-2</v>
      </c>
    </row>
    <row r="9" spans="1:6" x14ac:dyDescent="0.25">
      <c r="A9" s="14">
        <v>2</v>
      </c>
      <c r="B9" s="14" t="s">
        <v>14</v>
      </c>
      <c r="C9" s="13">
        <v>5.1052631579999996</v>
      </c>
      <c r="D9" s="2">
        <v>4</v>
      </c>
      <c r="E9" s="2">
        <v>2</v>
      </c>
      <c r="F9" s="2">
        <f t="shared" si="0"/>
        <v>-2</v>
      </c>
    </row>
    <row r="10" spans="1:6" x14ac:dyDescent="0.25">
      <c r="A10" s="11">
        <v>3</v>
      </c>
      <c r="B10" s="11" t="s">
        <v>11</v>
      </c>
      <c r="C10" s="13">
        <v>5.4736842110000001</v>
      </c>
      <c r="D10" s="3">
        <v>0.8</v>
      </c>
      <c r="E10" s="3">
        <v>5</v>
      </c>
      <c r="F10" s="3">
        <f t="shared" si="0"/>
        <v>4.2</v>
      </c>
    </row>
    <row r="11" spans="1:6" x14ac:dyDescent="0.25">
      <c r="A11" s="11">
        <v>3</v>
      </c>
      <c r="B11" s="11" t="s">
        <v>12</v>
      </c>
      <c r="C11" s="13">
        <v>5.9473684210000002</v>
      </c>
      <c r="D11" s="3">
        <v>0.8</v>
      </c>
      <c r="E11" s="3">
        <v>2</v>
      </c>
      <c r="F11" s="3">
        <f t="shared" si="0"/>
        <v>1.2</v>
      </c>
    </row>
    <row r="12" spans="1:6" x14ac:dyDescent="0.25">
      <c r="A12" s="11">
        <v>3</v>
      </c>
      <c r="B12" s="11" t="s">
        <v>13</v>
      </c>
      <c r="C12" s="13">
        <v>6.3157894739999998</v>
      </c>
      <c r="D12" s="3">
        <v>0.8</v>
      </c>
      <c r="E12" s="3">
        <v>1</v>
      </c>
      <c r="F12" s="3">
        <f t="shared" si="0"/>
        <v>0.19999999999999996</v>
      </c>
    </row>
    <row r="13" spans="1:6" x14ac:dyDescent="0.25">
      <c r="A13" s="11">
        <v>3</v>
      </c>
      <c r="B13" s="11" t="s">
        <v>14</v>
      </c>
      <c r="C13" s="13">
        <v>6.1052631579999996</v>
      </c>
      <c r="D13" s="3">
        <v>0.8</v>
      </c>
      <c r="E13" s="3">
        <v>2</v>
      </c>
      <c r="F13" s="3">
        <f t="shared" si="0"/>
        <v>1.2</v>
      </c>
    </row>
    <row r="14" spans="1:6" x14ac:dyDescent="0.25">
      <c r="A14" s="21">
        <v>4</v>
      </c>
      <c r="B14" s="21" t="s">
        <v>11</v>
      </c>
      <c r="C14" s="22">
        <v>5.263157895</v>
      </c>
      <c r="D14" s="23">
        <v>5</v>
      </c>
      <c r="E14" s="23">
        <v>5</v>
      </c>
      <c r="F14" s="23">
        <f t="shared" si="0"/>
        <v>0</v>
      </c>
    </row>
    <row r="15" spans="1:6" x14ac:dyDescent="0.25">
      <c r="A15" s="21">
        <v>4</v>
      </c>
      <c r="B15" s="21" t="s">
        <v>12</v>
      </c>
      <c r="C15" s="22">
        <v>4.8421052629999997</v>
      </c>
      <c r="D15" s="23">
        <v>5</v>
      </c>
      <c r="E15" s="23">
        <v>5</v>
      </c>
      <c r="F15" s="23">
        <f t="shared" si="0"/>
        <v>0</v>
      </c>
    </row>
    <row r="16" spans="1:6" x14ac:dyDescent="0.25">
      <c r="A16" s="21">
        <v>4</v>
      </c>
      <c r="B16" s="21" t="s">
        <v>13</v>
      </c>
      <c r="C16" s="22">
        <v>4.736842105</v>
      </c>
      <c r="D16" s="23">
        <v>5</v>
      </c>
      <c r="E16" s="23">
        <v>4</v>
      </c>
      <c r="F16" s="23">
        <f t="shared" si="0"/>
        <v>-1</v>
      </c>
    </row>
    <row r="17" spans="1:6" x14ac:dyDescent="0.25">
      <c r="A17" s="21">
        <v>4</v>
      </c>
      <c r="B17" s="21" t="s">
        <v>14</v>
      </c>
      <c r="C17" s="22">
        <v>5.1052631579999996</v>
      </c>
      <c r="D17" s="23">
        <v>5</v>
      </c>
      <c r="E17" s="23">
        <v>5</v>
      </c>
      <c r="F17" s="23">
        <f t="shared" si="0"/>
        <v>0</v>
      </c>
    </row>
    <row r="18" spans="1:6" x14ac:dyDescent="0.25">
      <c r="A18" s="21">
        <v>5</v>
      </c>
      <c r="B18" s="21" t="s">
        <v>11</v>
      </c>
      <c r="C18" s="22">
        <v>8</v>
      </c>
      <c r="D18" s="23">
        <v>4</v>
      </c>
      <c r="E18" s="23" t="s">
        <v>16</v>
      </c>
      <c r="F18" s="23" t="e">
        <f t="shared" si="0"/>
        <v>#VALUE!</v>
      </c>
    </row>
    <row r="19" spans="1:6" x14ac:dyDescent="0.25">
      <c r="A19" s="21">
        <v>5</v>
      </c>
      <c r="B19" s="21" t="s">
        <v>12</v>
      </c>
      <c r="C19" s="22">
        <v>8</v>
      </c>
      <c r="D19" s="23">
        <v>4</v>
      </c>
      <c r="E19" s="23" t="s">
        <v>16</v>
      </c>
      <c r="F19" s="23" t="e">
        <f t="shared" si="0"/>
        <v>#VALUE!</v>
      </c>
    </row>
    <row r="20" spans="1:6" x14ac:dyDescent="0.25">
      <c r="A20" s="21">
        <v>5</v>
      </c>
      <c r="B20" s="21" t="s">
        <v>13</v>
      </c>
      <c r="C20" s="22">
        <v>8</v>
      </c>
      <c r="D20" s="23">
        <v>4</v>
      </c>
      <c r="E20" s="23">
        <v>4</v>
      </c>
      <c r="F20" s="23">
        <f t="shared" si="0"/>
        <v>0</v>
      </c>
    </row>
    <row r="21" spans="1:6" x14ac:dyDescent="0.25">
      <c r="A21" s="21">
        <v>5</v>
      </c>
      <c r="B21" s="21" t="s">
        <v>14</v>
      </c>
      <c r="C21" s="22">
        <v>8</v>
      </c>
      <c r="D21" s="23">
        <v>4</v>
      </c>
      <c r="E21" s="23">
        <v>5</v>
      </c>
      <c r="F21" s="23">
        <f t="shared" si="0"/>
        <v>1</v>
      </c>
    </row>
    <row r="22" spans="1:6" x14ac:dyDescent="0.25">
      <c r="A22" s="14">
        <v>6</v>
      </c>
      <c r="B22" s="14" t="s">
        <v>11</v>
      </c>
      <c r="C22" s="13">
        <v>4.0526315789999998</v>
      </c>
      <c r="D22" s="2">
        <v>2.5</v>
      </c>
      <c r="E22" s="2">
        <v>4</v>
      </c>
      <c r="F22" s="2">
        <f t="shared" si="0"/>
        <v>1.5</v>
      </c>
    </row>
    <row r="23" spans="1:6" x14ac:dyDescent="0.25">
      <c r="A23" s="14">
        <v>6</v>
      </c>
      <c r="B23" s="14" t="s">
        <v>12</v>
      </c>
      <c r="C23" s="13">
        <v>4.736842105</v>
      </c>
      <c r="D23" s="2">
        <v>2.5</v>
      </c>
      <c r="E23" s="2">
        <v>1</v>
      </c>
      <c r="F23" s="2">
        <f t="shared" si="0"/>
        <v>-1.5</v>
      </c>
    </row>
    <row r="24" spans="1:6" x14ac:dyDescent="0.25">
      <c r="A24" s="14">
        <v>6</v>
      </c>
      <c r="B24" s="14" t="s">
        <v>13</v>
      </c>
      <c r="C24" s="13">
        <v>5.263157895</v>
      </c>
      <c r="D24" s="2">
        <v>2.5</v>
      </c>
      <c r="E24" s="2">
        <v>2.5</v>
      </c>
      <c r="F24" s="2">
        <f t="shared" si="0"/>
        <v>0</v>
      </c>
    </row>
    <row r="25" spans="1:6" x14ac:dyDescent="0.25">
      <c r="A25" s="14">
        <v>6</v>
      </c>
      <c r="B25" s="14" t="s">
        <v>14</v>
      </c>
      <c r="C25" s="13">
        <v>5.3684210529999996</v>
      </c>
      <c r="D25" s="2">
        <v>2.5</v>
      </c>
      <c r="E25" s="2">
        <v>1.5</v>
      </c>
      <c r="F25" s="2">
        <f t="shared" si="0"/>
        <v>-1</v>
      </c>
    </row>
    <row r="26" spans="1:6" x14ac:dyDescent="0.25">
      <c r="A26" s="11">
        <v>7</v>
      </c>
      <c r="B26" s="11" t="s">
        <v>11</v>
      </c>
      <c r="C26" s="13">
        <v>6.3684210529999996</v>
      </c>
      <c r="D26" s="3">
        <v>5</v>
      </c>
      <c r="E26" s="3">
        <v>3</v>
      </c>
      <c r="F26" s="3">
        <f t="shared" si="0"/>
        <v>-2</v>
      </c>
    </row>
    <row r="27" spans="1:6" x14ac:dyDescent="0.25">
      <c r="A27" s="11">
        <v>7</v>
      </c>
      <c r="B27" s="11" t="s">
        <v>12</v>
      </c>
      <c r="C27" s="13">
        <v>6.3684210529999996</v>
      </c>
      <c r="D27" s="3">
        <v>5</v>
      </c>
      <c r="E27" s="3">
        <v>4</v>
      </c>
      <c r="F27" s="3">
        <f t="shared" si="0"/>
        <v>-1</v>
      </c>
    </row>
    <row r="28" spans="1:6" x14ac:dyDescent="0.25">
      <c r="A28" s="11">
        <v>7</v>
      </c>
      <c r="B28" s="11" t="s">
        <v>13</v>
      </c>
      <c r="C28" s="13">
        <v>7</v>
      </c>
      <c r="D28" s="3">
        <v>5</v>
      </c>
      <c r="E28" s="3">
        <v>2.8</v>
      </c>
      <c r="F28" s="3">
        <f t="shared" si="0"/>
        <v>-2.2000000000000002</v>
      </c>
    </row>
    <row r="29" spans="1:6" x14ac:dyDescent="0.25">
      <c r="A29" s="11">
        <v>7</v>
      </c>
      <c r="B29" s="11" t="s">
        <v>14</v>
      </c>
      <c r="C29" s="13">
        <v>6.263157895</v>
      </c>
      <c r="D29" s="3">
        <v>5</v>
      </c>
      <c r="E29" s="3">
        <v>2</v>
      </c>
      <c r="F29" s="3">
        <f t="shared" si="0"/>
        <v>-3</v>
      </c>
    </row>
    <row r="30" spans="1:6" x14ac:dyDescent="0.25">
      <c r="A30" s="14">
        <v>8</v>
      </c>
      <c r="B30" s="14" t="s">
        <v>11</v>
      </c>
      <c r="C30" s="13">
        <v>6.263157895</v>
      </c>
      <c r="D30" s="2">
        <v>6</v>
      </c>
      <c r="E30" s="2">
        <v>3</v>
      </c>
      <c r="F30" s="2">
        <f t="shared" si="0"/>
        <v>-3</v>
      </c>
    </row>
    <row r="31" spans="1:6" x14ac:dyDescent="0.25">
      <c r="A31" s="14">
        <v>8</v>
      </c>
      <c r="B31" s="14" t="s">
        <v>12</v>
      </c>
      <c r="C31" s="13">
        <v>6.1578947370000003</v>
      </c>
      <c r="D31" s="2">
        <v>6</v>
      </c>
      <c r="E31" s="2">
        <v>5</v>
      </c>
      <c r="F31" s="2">
        <f t="shared" si="0"/>
        <v>-1</v>
      </c>
    </row>
    <row r="32" spans="1:6" x14ac:dyDescent="0.25">
      <c r="A32" s="14">
        <v>8</v>
      </c>
      <c r="B32" s="14" t="s">
        <v>13</v>
      </c>
      <c r="C32" s="13">
        <v>6.1578947370000003</v>
      </c>
      <c r="D32" s="2">
        <v>6</v>
      </c>
      <c r="E32" s="2">
        <v>4</v>
      </c>
      <c r="F32" s="2">
        <f t="shared" si="0"/>
        <v>-2</v>
      </c>
    </row>
    <row r="33" spans="1:6" x14ac:dyDescent="0.25">
      <c r="A33" s="14">
        <v>8</v>
      </c>
      <c r="B33" s="14" t="s">
        <v>14</v>
      </c>
      <c r="C33" s="13">
        <v>5.5263157889999999</v>
      </c>
      <c r="D33" s="2">
        <v>6</v>
      </c>
      <c r="E33" s="2">
        <v>2</v>
      </c>
      <c r="F33" s="2">
        <f t="shared" si="0"/>
        <v>-4</v>
      </c>
    </row>
    <row r="34" spans="1:6" x14ac:dyDescent="0.25">
      <c r="A34" s="11">
        <v>9</v>
      </c>
      <c r="B34" s="11" t="s">
        <v>11</v>
      </c>
      <c r="C34" s="13">
        <v>6.2105263160000002</v>
      </c>
      <c r="D34" s="3">
        <v>1.2</v>
      </c>
      <c r="E34" s="3">
        <v>2.5</v>
      </c>
      <c r="F34" s="3">
        <f t="shared" ref="F34:F65" si="1">E34-D34</f>
        <v>1.3</v>
      </c>
    </row>
    <row r="35" spans="1:6" x14ac:dyDescent="0.25">
      <c r="A35" s="11">
        <v>9</v>
      </c>
      <c r="B35" s="11" t="s">
        <v>12</v>
      </c>
      <c r="C35" s="13">
        <v>6.3684210529999996</v>
      </c>
      <c r="D35" s="3">
        <v>1.2</v>
      </c>
      <c r="E35" s="3">
        <v>2.5</v>
      </c>
      <c r="F35" s="3">
        <f t="shared" si="1"/>
        <v>1.3</v>
      </c>
    </row>
    <row r="36" spans="1:6" x14ac:dyDescent="0.25">
      <c r="A36" s="11">
        <v>9</v>
      </c>
      <c r="B36" s="11" t="s">
        <v>13</v>
      </c>
      <c r="C36" s="13">
        <v>6.5789473679999997</v>
      </c>
      <c r="D36" s="3">
        <v>1.2</v>
      </c>
      <c r="E36" s="3">
        <v>1</v>
      </c>
      <c r="F36" s="3">
        <f t="shared" si="1"/>
        <v>-0.19999999999999996</v>
      </c>
    </row>
    <row r="37" spans="1:6" x14ac:dyDescent="0.25">
      <c r="A37" s="11">
        <v>9</v>
      </c>
      <c r="B37" s="11" t="s">
        <v>14</v>
      </c>
      <c r="C37" s="13">
        <v>6.263157895</v>
      </c>
      <c r="D37" s="3">
        <v>1.2</v>
      </c>
      <c r="E37" s="3">
        <v>1</v>
      </c>
      <c r="F37" s="3">
        <f t="shared" si="1"/>
        <v>-0.19999999999999996</v>
      </c>
    </row>
    <row r="38" spans="1:6" x14ac:dyDescent="0.25">
      <c r="A38" s="14">
        <v>10</v>
      </c>
      <c r="B38" s="14" t="s">
        <v>11</v>
      </c>
      <c r="C38" s="13">
        <v>5.263157895</v>
      </c>
      <c r="D38" s="2">
        <v>1.5</v>
      </c>
      <c r="E38" s="2">
        <v>1</v>
      </c>
      <c r="F38" s="2">
        <f t="shared" si="1"/>
        <v>-0.5</v>
      </c>
    </row>
    <row r="39" spans="1:6" x14ac:dyDescent="0.25">
      <c r="A39" s="14">
        <v>10</v>
      </c>
      <c r="B39" s="14" t="s">
        <v>12</v>
      </c>
      <c r="C39" s="13">
        <v>5.3684210529999996</v>
      </c>
      <c r="D39" s="2">
        <v>1.5</v>
      </c>
      <c r="E39" s="2">
        <v>0.5</v>
      </c>
      <c r="F39" s="2">
        <f t="shared" si="1"/>
        <v>-1</v>
      </c>
    </row>
    <row r="40" spans="1:6" x14ac:dyDescent="0.25">
      <c r="A40" s="14">
        <v>10</v>
      </c>
      <c r="B40" s="14" t="s">
        <v>13</v>
      </c>
      <c r="C40" s="13">
        <v>5.4210526320000003</v>
      </c>
      <c r="D40" s="2">
        <v>1.5</v>
      </c>
      <c r="E40" s="2">
        <v>0.75</v>
      </c>
      <c r="F40" s="2">
        <f t="shared" si="1"/>
        <v>-0.75</v>
      </c>
    </row>
    <row r="41" spans="1:6" x14ac:dyDescent="0.25">
      <c r="A41" s="14">
        <v>10</v>
      </c>
      <c r="B41" s="14" t="s">
        <v>14</v>
      </c>
      <c r="C41" s="13">
        <v>5.6315789470000004</v>
      </c>
      <c r="D41" s="2">
        <v>1.5</v>
      </c>
      <c r="E41" s="2">
        <v>1.5</v>
      </c>
      <c r="F41" s="2">
        <f t="shared" si="1"/>
        <v>0</v>
      </c>
    </row>
    <row r="42" spans="1:6" x14ac:dyDescent="0.25">
      <c r="A42" s="11">
        <v>11</v>
      </c>
      <c r="B42" s="11" t="s">
        <v>11</v>
      </c>
      <c r="C42" s="13">
        <v>5.4736842110000001</v>
      </c>
      <c r="D42" s="3">
        <v>1</v>
      </c>
      <c r="E42" s="3">
        <v>0.5</v>
      </c>
      <c r="F42" s="3">
        <f t="shared" si="1"/>
        <v>-0.5</v>
      </c>
    </row>
    <row r="43" spans="1:6" x14ac:dyDescent="0.25">
      <c r="A43" s="11">
        <v>11</v>
      </c>
      <c r="B43" s="11" t="s">
        <v>12</v>
      </c>
      <c r="C43" s="13">
        <v>5.5263157889999999</v>
      </c>
      <c r="D43" s="3">
        <v>1</v>
      </c>
      <c r="E43" s="3">
        <v>0.5</v>
      </c>
      <c r="F43" s="3">
        <f t="shared" si="1"/>
        <v>-0.5</v>
      </c>
    </row>
    <row r="44" spans="1:6" x14ac:dyDescent="0.25">
      <c r="A44" s="11">
        <v>11</v>
      </c>
      <c r="B44" s="11" t="s">
        <v>13</v>
      </c>
      <c r="C44" s="13">
        <v>5.736842105</v>
      </c>
      <c r="D44" s="3">
        <v>1</v>
      </c>
      <c r="E44" s="3">
        <v>0.5</v>
      </c>
      <c r="F44" s="3">
        <f t="shared" si="1"/>
        <v>-0.5</v>
      </c>
    </row>
    <row r="45" spans="1:6" x14ac:dyDescent="0.25">
      <c r="A45" s="11">
        <v>11</v>
      </c>
      <c r="B45" s="11" t="s">
        <v>14</v>
      </c>
      <c r="C45" s="13">
        <v>6.1578947370000003</v>
      </c>
      <c r="D45" s="3">
        <v>1</v>
      </c>
      <c r="E45" s="3">
        <v>0.5</v>
      </c>
      <c r="F45" s="3">
        <f t="shared" si="1"/>
        <v>-0.5</v>
      </c>
    </row>
    <row r="46" spans="1:6" x14ac:dyDescent="0.25">
      <c r="A46" s="14">
        <v>12</v>
      </c>
      <c r="B46" s="14" t="s">
        <v>11</v>
      </c>
      <c r="C46" s="13">
        <v>6.1052631579999996</v>
      </c>
      <c r="D46" s="2">
        <v>5</v>
      </c>
      <c r="E46" s="2">
        <v>4</v>
      </c>
      <c r="F46" s="2">
        <f t="shared" si="1"/>
        <v>-1</v>
      </c>
    </row>
    <row r="47" spans="1:6" x14ac:dyDescent="0.25">
      <c r="A47" s="14">
        <v>12</v>
      </c>
      <c r="B47" s="14" t="s">
        <v>12</v>
      </c>
      <c r="C47" s="13">
        <v>6.1578947370000003</v>
      </c>
      <c r="D47" s="2">
        <v>5</v>
      </c>
      <c r="E47" s="2">
        <v>3</v>
      </c>
      <c r="F47" s="2">
        <f t="shared" si="1"/>
        <v>-2</v>
      </c>
    </row>
    <row r="48" spans="1:6" x14ac:dyDescent="0.25">
      <c r="A48" s="14">
        <v>12</v>
      </c>
      <c r="B48" s="14" t="s">
        <v>13</v>
      </c>
      <c r="C48" s="13">
        <v>6.2105263160000002</v>
      </c>
      <c r="D48" s="2">
        <v>5</v>
      </c>
      <c r="E48" s="2">
        <v>2</v>
      </c>
      <c r="F48" s="2">
        <f t="shared" si="1"/>
        <v>-3</v>
      </c>
    </row>
    <row r="49" spans="1:6" x14ac:dyDescent="0.25">
      <c r="A49" s="14">
        <v>12</v>
      </c>
      <c r="B49" s="14" t="s">
        <v>14</v>
      </c>
      <c r="C49" s="13">
        <v>6.3684210529999996</v>
      </c>
      <c r="D49" s="2">
        <v>5</v>
      </c>
      <c r="E49" s="2">
        <v>3.5</v>
      </c>
      <c r="F49" s="2">
        <f t="shared" si="1"/>
        <v>-1.5</v>
      </c>
    </row>
    <row r="50" spans="1:6" x14ac:dyDescent="0.25">
      <c r="A50" s="11">
        <v>13</v>
      </c>
      <c r="B50" s="11" t="s">
        <v>11</v>
      </c>
      <c r="C50" s="13">
        <v>6.4736842110000001</v>
      </c>
      <c r="D50" s="3">
        <v>4.5</v>
      </c>
      <c r="E50" s="3">
        <v>3</v>
      </c>
      <c r="F50" s="3">
        <f t="shared" si="1"/>
        <v>-1.5</v>
      </c>
    </row>
    <row r="51" spans="1:6" x14ac:dyDescent="0.25">
      <c r="A51" s="11">
        <v>13</v>
      </c>
      <c r="B51" s="11" t="s">
        <v>12</v>
      </c>
      <c r="C51" s="13">
        <v>6</v>
      </c>
      <c r="D51" s="3">
        <v>4.5</v>
      </c>
      <c r="E51" s="3">
        <v>3</v>
      </c>
      <c r="F51" s="3">
        <f t="shared" si="1"/>
        <v>-1.5</v>
      </c>
    </row>
    <row r="52" spans="1:6" x14ac:dyDescent="0.25">
      <c r="A52" s="11">
        <v>13</v>
      </c>
      <c r="B52" s="11" t="s">
        <v>13</v>
      </c>
      <c r="C52" s="13">
        <v>6.736842105</v>
      </c>
      <c r="D52" s="3">
        <v>4.5</v>
      </c>
      <c r="E52" s="3">
        <v>2</v>
      </c>
      <c r="F52" s="3">
        <f t="shared" si="1"/>
        <v>-2.5</v>
      </c>
    </row>
    <row r="53" spans="1:6" x14ac:dyDescent="0.25">
      <c r="A53" s="11">
        <v>13</v>
      </c>
      <c r="B53" s="11" t="s">
        <v>14</v>
      </c>
      <c r="C53" s="13">
        <v>6.4210526320000003</v>
      </c>
      <c r="D53" s="3">
        <v>4.5</v>
      </c>
      <c r="E53" s="3">
        <v>3</v>
      </c>
      <c r="F53" s="3">
        <f t="shared" si="1"/>
        <v>-1.5</v>
      </c>
    </row>
    <row r="54" spans="1:6" x14ac:dyDescent="0.25">
      <c r="A54" s="14">
        <v>14</v>
      </c>
      <c r="B54" s="14" t="s">
        <v>11</v>
      </c>
      <c r="C54" s="13">
        <v>5.3684210529999996</v>
      </c>
      <c r="D54" s="2">
        <v>1.3</v>
      </c>
      <c r="E54" s="2">
        <v>1.3</v>
      </c>
      <c r="F54" s="2">
        <f t="shared" si="1"/>
        <v>0</v>
      </c>
    </row>
    <row r="55" spans="1:6" x14ac:dyDescent="0.25">
      <c r="A55" s="14">
        <v>14</v>
      </c>
      <c r="B55" s="14" t="s">
        <v>12</v>
      </c>
      <c r="C55" s="13">
        <v>5.3157894739999998</v>
      </c>
      <c r="D55" s="2">
        <v>1.3</v>
      </c>
      <c r="E55" s="2">
        <v>1</v>
      </c>
      <c r="F55" s="2">
        <f t="shared" si="1"/>
        <v>-0.30000000000000004</v>
      </c>
    </row>
    <row r="56" spans="1:6" x14ac:dyDescent="0.25">
      <c r="A56" s="14">
        <v>14</v>
      </c>
      <c r="B56" s="14" t="s">
        <v>13</v>
      </c>
      <c r="C56" s="13">
        <v>6.2105263160000002</v>
      </c>
      <c r="D56" s="2">
        <v>1.3</v>
      </c>
      <c r="E56" s="2">
        <v>0.7</v>
      </c>
      <c r="F56" s="2">
        <f t="shared" si="1"/>
        <v>-0.60000000000000009</v>
      </c>
    </row>
    <row r="57" spans="1:6" x14ac:dyDescent="0.25">
      <c r="A57" s="14">
        <v>14</v>
      </c>
      <c r="B57" s="14" t="s">
        <v>14</v>
      </c>
      <c r="C57" s="13">
        <v>6.2105263160000002</v>
      </c>
      <c r="D57" s="2">
        <v>1.3</v>
      </c>
      <c r="E57" s="2">
        <v>0.4</v>
      </c>
      <c r="F57" s="2">
        <f t="shared" si="1"/>
        <v>-0.9</v>
      </c>
    </row>
    <row r="58" spans="1:6" x14ac:dyDescent="0.25">
      <c r="A58" s="11">
        <v>15</v>
      </c>
      <c r="B58" s="11" t="s">
        <v>11</v>
      </c>
      <c r="C58" s="13">
        <v>5.8421052629999997</v>
      </c>
      <c r="D58" s="3">
        <v>1.3</v>
      </c>
      <c r="E58" s="3">
        <v>0.4</v>
      </c>
      <c r="F58" s="3">
        <f t="shared" si="1"/>
        <v>-0.9</v>
      </c>
    </row>
    <row r="59" spans="1:6" x14ac:dyDescent="0.25">
      <c r="A59" s="11">
        <v>15</v>
      </c>
      <c r="B59" s="11" t="s">
        <v>12</v>
      </c>
      <c r="C59" s="13">
        <v>6.1578947370000003</v>
      </c>
      <c r="D59" s="3">
        <v>1.3</v>
      </c>
      <c r="E59" s="3">
        <v>1.2</v>
      </c>
      <c r="F59" s="3">
        <f t="shared" si="1"/>
        <v>-0.10000000000000009</v>
      </c>
    </row>
    <row r="60" spans="1:6" x14ac:dyDescent="0.25">
      <c r="A60" s="11">
        <v>15</v>
      </c>
      <c r="B60" s="11" t="s">
        <v>13</v>
      </c>
      <c r="C60" s="13">
        <v>6.1578947370000003</v>
      </c>
      <c r="D60" s="3">
        <v>1.3</v>
      </c>
      <c r="E60" s="3">
        <v>1</v>
      </c>
      <c r="F60" s="3">
        <f t="shared" si="1"/>
        <v>-0.30000000000000004</v>
      </c>
    </row>
    <row r="61" spans="1:6" x14ac:dyDescent="0.25">
      <c r="A61" s="11">
        <v>15</v>
      </c>
      <c r="B61" s="11" t="s">
        <v>14</v>
      </c>
      <c r="C61" s="13">
        <v>6.3684210529999996</v>
      </c>
      <c r="D61" s="3">
        <v>1.3</v>
      </c>
      <c r="E61" s="3">
        <v>0.8</v>
      </c>
      <c r="F61" s="3">
        <f t="shared" si="1"/>
        <v>-0.5</v>
      </c>
    </row>
    <row r="62" spans="1:6" x14ac:dyDescent="0.25">
      <c r="A62" s="14">
        <v>16</v>
      </c>
      <c r="B62" s="14" t="s">
        <v>11</v>
      </c>
      <c r="C62" s="13">
        <v>6.1578947370000003</v>
      </c>
      <c r="D62" s="2">
        <v>4</v>
      </c>
      <c r="E62" s="2">
        <v>1.5</v>
      </c>
      <c r="F62" s="2">
        <f t="shared" si="1"/>
        <v>-2.5</v>
      </c>
    </row>
    <row r="63" spans="1:6" x14ac:dyDescent="0.25">
      <c r="A63" s="14">
        <v>16</v>
      </c>
      <c r="B63" s="14" t="s">
        <v>12</v>
      </c>
      <c r="C63" s="13">
        <v>5.9473684210000002</v>
      </c>
      <c r="D63" s="2">
        <v>4</v>
      </c>
      <c r="E63" s="2">
        <v>2</v>
      </c>
      <c r="F63" s="2">
        <f t="shared" si="1"/>
        <v>-2</v>
      </c>
    </row>
    <row r="64" spans="1:6" x14ac:dyDescent="0.25">
      <c r="A64" s="14">
        <v>16</v>
      </c>
      <c r="B64" s="14" t="s">
        <v>13</v>
      </c>
      <c r="C64" s="13">
        <v>6.6315789470000004</v>
      </c>
      <c r="D64" s="2">
        <v>4</v>
      </c>
      <c r="E64" s="2">
        <v>1.2</v>
      </c>
      <c r="F64" s="2">
        <f t="shared" si="1"/>
        <v>-2.8</v>
      </c>
    </row>
    <row r="65" spans="1:6" x14ac:dyDescent="0.25">
      <c r="A65" s="14">
        <v>16</v>
      </c>
      <c r="B65" s="14" t="s">
        <v>14</v>
      </c>
      <c r="C65" s="13">
        <v>6.736842105</v>
      </c>
      <c r="D65" s="2">
        <v>4</v>
      </c>
      <c r="E65" s="2">
        <v>1</v>
      </c>
      <c r="F65" s="2">
        <f t="shared" si="1"/>
        <v>-3</v>
      </c>
    </row>
    <row r="66" spans="1:6" x14ac:dyDescent="0.25">
      <c r="A66" s="11">
        <v>17</v>
      </c>
      <c r="B66" s="11" t="s">
        <v>11</v>
      </c>
      <c r="C66" s="13">
        <v>5</v>
      </c>
      <c r="D66" s="3">
        <v>4</v>
      </c>
      <c r="E66" s="3">
        <v>1</v>
      </c>
      <c r="F66" s="3">
        <f t="shared" ref="F66:F97" si="2">E66-D66</f>
        <v>-3</v>
      </c>
    </row>
    <row r="67" spans="1:6" x14ac:dyDescent="0.25">
      <c r="A67" s="11">
        <v>17</v>
      </c>
      <c r="B67" s="11" t="s">
        <v>12</v>
      </c>
      <c r="C67" s="13">
        <v>5.1052631579999996</v>
      </c>
      <c r="D67" s="3">
        <v>4</v>
      </c>
      <c r="E67" s="3">
        <v>0</v>
      </c>
      <c r="F67" s="3">
        <f t="shared" si="2"/>
        <v>-4</v>
      </c>
    </row>
    <row r="68" spans="1:6" x14ac:dyDescent="0.25">
      <c r="A68" s="11">
        <v>17</v>
      </c>
      <c r="B68" s="11" t="s">
        <v>13</v>
      </c>
      <c r="C68" s="13">
        <v>6.2105263160000002</v>
      </c>
      <c r="D68" s="3">
        <v>4</v>
      </c>
      <c r="E68" s="3">
        <v>0</v>
      </c>
      <c r="F68" s="3">
        <f t="shared" si="2"/>
        <v>-4</v>
      </c>
    </row>
    <row r="69" spans="1:6" x14ac:dyDescent="0.25">
      <c r="A69" s="11">
        <v>17</v>
      </c>
      <c r="B69" s="11" t="s">
        <v>14</v>
      </c>
      <c r="C69" s="13">
        <v>5.3684210529999996</v>
      </c>
      <c r="D69" s="3">
        <v>4</v>
      </c>
      <c r="E69" s="3">
        <v>0</v>
      </c>
      <c r="F69" s="3">
        <f t="shared" si="2"/>
        <v>-4</v>
      </c>
    </row>
    <row r="70" spans="1:6" x14ac:dyDescent="0.25">
      <c r="A70" s="14">
        <v>18</v>
      </c>
      <c r="B70" s="14" t="s">
        <v>11</v>
      </c>
      <c r="C70" s="13">
        <v>6.4736842110000001</v>
      </c>
      <c r="D70" s="2">
        <v>4</v>
      </c>
      <c r="E70" s="2">
        <v>3</v>
      </c>
      <c r="F70" s="2">
        <f t="shared" si="2"/>
        <v>-1</v>
      </c>
    </row>
    <row r="71" spans="1:6" x14ac:dyDescent="0.25">
      <c r="A71" s="14">
        <v>18</v>
      </c>
      <c r="B71" s="14" t="s">
        <v>12</v>
      </c>
      <c r="C71" s="13">
        <v>6.3684210529999996</v>
      </c>
      <c r="D71" s="2">
        <v>4</v>
      </c>
      <c r="E71" s="2">
        <v>3</v>
      </c>
      <c r="F71" s="2">
        <f t="shared" si="2"/>
        <v>-1</v>
      </c>
    </row>
    <row r="72" spans="1:6" x14ac:dyDescent="0.25">
      <c r="A72" s="14">
        <v>18</v>
      </c>
      <c r="B72" s="14" t="s">
        <v>13</v>
      </c>
      <c r="C72" s="13">
        <v>5.5789473679999997</v>
      </c>
      <c r="D72" s="2">
        <v>4</v>
      </c>
      <c r="E72" s="2">
        <v>2.75</v>
      </c>
      <c r="F72" s="2">
        <f t="shared" si="2"/>
        <v>-1.25</v>
      </c>
    </row>
    <row r="73" spans="1:6" x14ac:dyDescent="0.25">
      <c r="A73" s="14">
        <v>18</v>
      </c>
      <c r="B73" s="14" t="s">
        <v>14</v>
      </c>
      <c r="C73" s="13">
        <v>6.263157895</v>
      </c>
      <c r="D73" s="2">
        <v>4</v>
      </c>
      <c r="E73" s="2">
        <v>2</v>
      </c>
      <c r="F73" s="2">
        <f t="shared" si="2"/>
        <v>-2</v>
      </c>
    </row>
    <row r="74" spans="1:6" x14ac:dyDescent="0.25">
      <c r="D74" s="2"/>
      <c r="E74" s="2"/>
      <c r="F74" s="2"/>
    </row>
    <row r="75" spans="1:6" x14ac:dyDescent="0.25">
      <c r="D75" s="2"/>
      <c r="E75" s="2"/>
      <c r="F75" s="2"/>
    </row>
    <row r="76" spans="1:6" x14ac:dyDescent="0.25">
      <c r="D76" s="2"/>
      <c r="E76" s="2"/>
      <c r="F76" s="2"/>
    </row>
    <row r="77" spans="1:6" x14ac:dyDescent="0.25">
      <c r="D77" s="2"/>
      <c r="E77" s="2"/>
      <c r="F77" s="2"/>
    </row>
    <row r="78" spans="1:6" x14ac:dyDescent="0.25">
      <c r="D78" s="2"/>
      <c r="E78" s="2"/>
      <c r="F78" s="2"/>
    </row>
    <row r="79" spans="1:6" x14ac:dyDescent="0.25">
      <c r="D79" s="2"/>
      <c r="E79" s="2"/>
      <c r="F79" s="2"/>
    </row>
    <row r="80" spans="1:6" x14ac:dyDescent="0.25">
      <c r="D80" s="2"/>
      <c r="E80" s="2"/>
      <c r="F80" s="2"/>
    </row>
    <row r="81" spans="4:6" x14ac:dyDescent="0.25">
      <c r="D81" s="2"/>
      <c r="E81" s="2"/>
      <c r="F81" s="2"/>
    </row>
    <row r="82" spans="4:6" x14ac:dyDescent="0.25">
      <c r="D82" s="2"/>
      <c r="E82" s="2"/>
      <c r="F82" s="2"/>
    </row>
    <row r="83" spans="4:6" x14ac:dyDescent="0.25">
      <c r="D83" s="2"/>
      <c r="E83" s="2"/>
      <c r="F83" s="2"/>
    </row>
    <row r="84" spans="4:6" x14ac:dyDescent="0.25">
      <c r="D84" s="2"/>
      <c r="E84" s="2"/>
      <c r="F84" s="2"/>
    </row>
    <row r="85" spans="4:6" x14ac:dyDescent="0.25">
      <c r="D85" s="2"/>
      <c r="E85" s="2"/>
      <c r="F85" s="2"/>
    </row>
    <row r="86" spans="4:6" x14ac:dyDescent="0.25">
      <c r="D86" s="2"/>
      <c r="E86" s="2"/>
      <c r="F86" s="2"/>
    </row>
    <row r="87" spans="4:6" x14ac:dyDescent="0.25">
      <c r="D87" s="2"/>
      <c r="E87" s="2"/>
      <c r="F87" s="2"/>
    </row>
    <row r="88" spans="4:6" x14ac:dyDescent="0.25">
      <c r="D88" s="2"/>
      <c r="E88" s="2"/>
      <c r="F88" s="2"/>
    </row>
    <row r="89" spans="4:6" x14ac:dyDescent="0.25">
      <c r="D89" s="2"/>
      <c r="E89" s="2"/>
      <c r="F89" s="2"/>
    </row>
    <row r="90" spans="4:6" x14ac:dyDescent="0.25">
      <c r="D90" s="2"/>
      <c r="E90" s="2"/>
      <c r="F90" s="2"/>
    </row>
    <row r="91" spans="4:6" x14ac:dyDescent="0.25">
      <c r="D91" s="2"/>
      <c r="E91" s="2"/>
      <c r="F91" s="2"/>
    </row>
    <row r="92" spans="4:6" x14ac:dyDescent="0.25">
      <c r="D92" s="2"/>
      <c r="E92" s="2"/>
      <c r="F92" s="2"/>
    </row>
    <row r="93" spans="4:6" x14ac:dyDescent="0.25">
      <c r="D93" s="2"/>
      <c r="E93" s="2"/>
      <c r="F93" s="2"/>
    </row>
    <row r="94" spans="4:6" x14ac:dyDescent="0.25">
      <c r="D94" s="2"/>
      <c r="E94" s="2"/>
      <c r="F94" s="2"/>
    </row>
    <row r="95" spans="4:6" x14ac:dyDescent="0.25">
      <c r="D95" s="2"/>
      <c r="E95" s="2"/>
      <c r="F95" s="2"/>
    </row>
    <row r="96" spans="4:6" x14ac:dyDescent="0.25">
      <c r="D96" s="2"/>
      <c r="E96" s="2"/>
      <c r="F96" s="2"/>
    </row>
    <row r="97" spans="4:6" x14ac:dyDescent="0.25">
      <c r="D97" s="2"/>
      <c r="E97" s="2"/>
      <c r="F97" s="2"/>
    </row>
    <row r="98" spans="4:6" x14ac:dyDescent="0.25">
      <c r="D98" s="2"/>
      <c r="E98" s="2"/>
      <c r="F98" s="2"/>
    </row>
    <row r="99" spans="4:6" x14ac:dyDescent="0.25">
      <c r="D99" s="2"/>
      <c r="E99" s="2"/>
      <c r="F99" s="2"/>
    </row>
    <row r="100" spans="4:6" x14ac:dyDescent="0.25">
      <c r="D100" s="2"/>
      <c r="E100" s="2"/>
      <c r="F100" s="2"/>
    </row>
    <row r="101" spans="4:6" x14ac:dyDescent="0.25">
      <c r="D101" s="2"/>
      <c r="E101" s="2"/>
      <c r="F101" s="2"/>
    </row>
    <row r="102" spans="4:6" x14ac:dyDescent="0.25">
      <c r="D102" s="2"/>
      <c r="E102" s="2"/>
      <c r="F102" s="2"/>
    </row>
    <row r="103" spans="4:6" x14ac:dyDescent="0.25">
      <c r="D103" s="2"/>
      <c r="E103" s="2"/>
      <c r="F103" s="2"/>
    </row>
    <row r="104" spans="4:6" x14ac:dyDescent="0.25">
      <c r="D104" s="2"/>
      <c r="E104" s="2"/>
      <c r="F104" s="2"/>
    </row>
    <row r="105" spans="4:6" x14ac:dyDescent="0.25">
      <c r="D105" s="2"/>
      <c r="E105" s="2"/>
      <c r="F105" s="2"/>
    </row>
    <row r="106" spans="4:6" x14ac:dyDescent="0.25">
      <c r="D106" s="2"/>
      <c r="E106" s="2"/>
      <c r="F106" s="2"/>
    </row>
    <row r="107" spans="4:6" x14ac:dyDescent="0.25">
      <c r="D107" s="2"/>
      <c r="E107" s="2"/>
      <c r="F107" s="2"/>
    </row>
    <row r="108" spans="4:6" x14ac:dyDescent="0.25">
      <c r="D108" s="2"/>
      <c r="E108" s="2"/>
      <c r="F108" s="2"/>
    </row>
    <row r="109" spans="4:6" x14ac:dyDescent="0.25">
      <c r="D109" s="2"/>
      <c r="E109" s="2"/>
      <c r="F109" s="2"/>
    </row>
    <row r="110" spans="4:6" x14ac:dyDescent="0.25">
      <c r="D110" s="2"/>
      <c r="E110" s="2"/>
      <c r="F110" s="2"/>
    </row>
    <row r="111" spans="4:6" x14ac:dyDescent="0.25">
      <c r="D111" s="2"/>
      <c r="E111" s="2"/>
      <c r="F111" s="2"/>
    </row>
    <row r="112" spans="4:6" x14ac:dyDescent="0.25">
      <c r="D112" s="2"/>
      <c r="E112" s="2"/>
      <c r="F112" s="2"/>
    </row>
    <row r="113" spans="4:6" x14ac:dyDescent="0.25">
      <c r="D113" s="2"/>
      <c r="E113" s="2"/>
      <c r="F113" s="2"/>
    </row>
    <row r="114" spans="4:6" x14ac:dyDescent="0.25">
      <c r="D114" s="2"/>
      <c r="E114" s="2"/>
      <c r="F114" s="2"/>
    </row>
    <row r="115" spans="4:6" x14ac:dyDescent="0.25">
      <c r="D115" s="2"/>
      <c r="E115" s="2"/>
      <c r="F115" s="2"/>
    </row>
    <row r="116" spans="4:6" x14ac:dyDescent="0.25">
      <c r="D116" s="2"/>
      <c r="E116" s="2"/>
      <c r="F116" s="2"/>
    </row>
    <row r="117" spans="4:6" x14ac:dyDescent="0.25">
      <c r="D117" s="2"/>
      <c r="E117" s="2"/>
      <c r="F117" s="2"/>
    </row>
    <row r="118" spans="4:6" x14ac:dyDescent="0.25">
      <c r="D118" s="2"/>
      <c r="E118" s="2"/>
      <c r="F118" s="2"/>
    </row>
    <row r="119" spans="4:6" x14ac:dyDescent="0.25">
      <c r="D119" s="2"/>
      <c r="E119" s="2"/>
      <c r="F119" s="2"/>
    </row>
    <row r="120" spans="4:6" x14ac:dyDescent="0.25">
      <c r="D120" s="2"/>
      <c r="E120" s="2"/>
      <c r="F120" s="2"/>
    </row>
    <row r="121" spans="4:6" x14ac:dyDescent="0.25">
      <c r="D121" s="2"/>
      <c r="E121" s="2"/>
      <c r="F121" s="2"/>
    </row>
    <row r="122" spans="4:6" x14ac:dyDescent="0.25">
      <c r="D122" s="2"/>
      <c r="E122" s="2"/>
      <c r="F122" s="2"/>
    </row>
    <row r="123" spans="4:6" x14ac:dyDescent="0.25">
      <c r="D123" s="2"/>
      <c r="E123" s="2"/>
      <c r="F123" s="2"/>
    </row>
    <row r="124" spans="4:6" x14ac:dyDescent="0.25">
      <c r="D124" s="2"/>
      <c r="E124" s="2"/>
      <c r="F124" s="2"/>
    </row>
    <row r="125" spans="4:6" x14ac:dyDescent="0.25">
      <c r="D125" s="2"/>
      <c r="E125" s="2"/>
      <c r="F125" s="2"/>
    </row>
    <row r="126" spans="4:6" x14ac:dyDescent="0.25">
      <c r="D126" s="2"/>
      <c r="E126" s="2"/>
      <c r="F126" s="2"/>
    </row>
    <row r="127" spans="4:6" x14ac:dyDescent="0.25">
      <c r="D127" s="2"/>
      <c r="E127" s="2"/>
      <c r="F127" s="2"/>
    </row>
    <row r="128" spans="4:6" x14ac:dyDescent="0.25">
      <c r="D128" s="2"/>
      <c r="E128" s="2"/>
      <c r="F128" s="2"/>
    </row>
    <row r="129" spans="4:6" x14ac:dyDescent="0.25">
      <c r="D129" s="2"/>
      <c r="E129" s="2"/>
      <c r="F129" s="2"/>
    </row>
    <row r="130" spans="4:6" x14ac:dyDescent="0.25">
      <c r="D130" s="2"/>
      <c r="E130" s="2"/>
      <c r="F130" s="2"/>
    </row>
    <row r="131" spans="4:6" x14ac:dyDescent="0.25">
      <c r="D131" s="2"/>
      <c r="E131" s="2"/>
      <c r="F131" s="2"/>
    </row>
    <row r="132" spans="4:6" x14ac:dyDescent="0.25">
      <c r="D132" s="2"/>
      <c r="E132" s="2"/>
      <c r="F132" s="2"/>
    </row>
    <row r="133" spans="4:6" x14ac:dyDescent="0.25">
      <c r="D133" s="2"/>
      <c r="E133" s="2"/>
      <c r="F133" s="2"/>
    </row>
    <row r="134" spans="4:6" x14ac:dyDescent="0.25">
      <c r="D134" s="2"/>
      <c r="E134" s="2"/>
      <c r="F134" s="2"/>
    </row>
    <row r="135" spans="4:6" x14ac:dyDescent="0.25">
      <c r="D135" s="2"/>
      <c r="E135" s="2"/>
      <c r="F135" s="2"/>
    </row>
    <row r="136" spans="4:6" x14ac:dyDescent="0.25">
      <c r="D136" s="2"/>
      <c r="E136" s="2"/>
      <c r="F136" s="2"/>
    </row>
    <row r="137" spans="4:6" x14ac:dyDescent="0.25">
      <c r="D137" s="2"/>
      <c r="E137" s="2"/>
      <c r="F137" s="2"/>
    </row>
    <row r="138" spans="4:6" x14ac:dyDescent="0.25">
      <c r="D138" s="2"/>
      <c r="E138" s="2"/>
      <c r="F138" s="2"/>
    </row>
    <row r="139" spans="4:6" x14ac:dyDescent="0.25">
      <c r="D139" s="2"/>
      <c r="E139" s="2"/>
      <c r="F139" s="2"/>
    </row>
    <row r="140" spans="4:6" x14ac:dyDescent="0.25">
      <c r="D140" s="2"/>
      <c r="E140" s="2"/>
      <c r="F140" s="2"/>
    </row>
    <row r="141" spans="4:6" x14ac:dyDescent="0.25">
      <c r="D141" s="2"/>
      <c r="E141" s="2"/>
      <c r="F141" s="2"/>
    </row>
    <row r="142" spans="4:6" x14ac:dyDescent="0.25">
      <c r="D142" s="2"/>
      <c r="E142" s="2"/>
      <c r="F142" s="2"/>
    </row>
    <row r="143" spans="4:6" x14ac:dyDescent="0.25">
      <c r="D143" s="2"/>
      <c r="E143" s="2"/>
      <c r="F143" s="2"/>
    </row>
    <row r="144" spans="4:6" x14ac:dyDescent="0.25">
      <c r="D144" s="2"/>
      <c r="E144" s="2"/>
      <c r="F144" s="2"/>
    </row>
    <row r="145" spans="4:6" x14ac:dyDescent="0.25">
      <c r="D145" s="2"/>
      <c r="E145" s="2"/>
      <c r="F145" s="2"/>
    </row>
    <row r="146" spans="4:6" x14ac:dyDescent="0.25">
      <c r="D146" s="2"/>
      <c r="E146" s="2"/>
      <c r="F146" s="2"/>
    </row>
    <row r="147" spans="4:6" x14ac:dyDescent="0.25">
      <c r="D147" s="2"/>
      <c r="E147" s="2"/>
      <c r="F147" s="2"/>
    </row>
    <row r="148" spans="4:6" x14ac:dyDescent="0.25">
      <c r="D148" s="2"/>
      <c r="E148" s="2"/>
      <c r="F148" s="2"/>
    </row>
    <row r="149" spans="4:6" x14ac:dyDescent="0.25">
      <c r="D149" s="2"/>
      <c r="E149" s="2"/>
      <c r="F149" s="2"/>
    </row>
    <row r="150" spans="4:6" x14ac:dyDescent="0.25">
      <c r="D150" s="2"/>
      <c r="E150" s="2"/>
      <c r="F150" s="2"/>
    </row>
    <row r="151" spans="4:6" x14ac:dyDescent="0.25">
      <c r="D151" s="2"/>
      <c r="E151" s="2"/>
      <c r="F151" s="2"/>
    </row>
    <row r="152" spans="4:6" x14ac:dyDescent="0.25">
      <c r="D152" s="2"/>
      <c r="E152" s="2"/>
      <c r="F152" s="2"/>
    </row>
    <row r="153" spans="4:6" x14ac:dyDescent="0.25">
      <c r="D153" s="2"/>
      <c r="E153" s="2"/>
      <c r="F153" s="2"/>
    </row>
    <row r="154" spans="4:6" x14ac:dyDescent="0.25">
      <c r="D154" s="2"/>
      <c r="E154" s="2"/>
      <c r="F154" s="2"/>
    </row>
    <row r="155" spans="4:6" x14ac:dyDescent="0.25">
      <c r="D155" s="2"/>
      <c r="E155" s="2"/>
      <c r="F155" s="2"/>
    </row>
    <row r="156" spans="4:6" x14ac:dyDescent="0.25">
      <c r="D156" s="2"/>
      <c r="E156" s="2"/>
      <c r="F156" s="2"/>
    </row>
    <row r="157" spans="4:6" x14ac:dyDescent="0.25">
      <c r="D157" s="2"/>
      <c r="E157" s="2"/>
      <c r="F157" s="2"/>
    </row>
    <row r="158" spans="4:6" x14ac:dyDescent="0.25">
      <c r="D158" s="2"/>
      <c r="E158" s="2"/>
      <c r="F158" s="2"/>
    </row>
    <row r="159" spans="4:6" x14ac:dyDescent="0.25">
      <c r="D159" s="2"/>
      <c r="E159" s="2"/>
      <c r="F159" s="2"/>
    </row>
    <row r="160" spans="4:6" x14ac:dyDescent="0.25">
      <c r="D160" s="2"/>
      <c r="E160" s="2"/>
      <c r="F160" s="2"/>
    </row>
    <row r="161" spans="4:6" x14ac:dyDescent="0.25">
      <c r="D161" s="2"/>
      <c r="E161" s="2"/>
      <c r="F161" s="2"/>
    </row>
    <row r="162" spans="4:6" x14ac:dyDescent="0.25">
      <c r="D162" s="2"/>
      <c r="E162" s="2"/>
      <c r="F162" s="2"/>
    </row>
    <row r="163" spans="4:6" x14ac:dyDescent="0.25">
      <c r="D163" s="2"/>
      <c r="E163" s="2"/>
      <c r="F163" s="2"/>
    </row>
    <row r="164" spans="4:6" x14ac:dyDescent="0.25">
      <c r="D164" s="2"/>
      <c r="E164" s="2"/>
      <c r="F164" s="2"/>
    </row>
    <row r="165" spans="4:6" x14ac:dyDescent="0.25">
      <c r="D165" s="2"/>
      <c r="E165" s="2"/>
      <c r="F165" s="2"/>
    </row>
    <row r="166" spans="4:6" x14ac:dyDescent="0.25">
      <c r="D166" s="2"/>
      <c r="E166" s="2"/>
      <c r="F166" s="2"/>
    </row>
    <row r="167" spans="4:6" x14ac:dyDescent="0.25">
      <c r="D167" s="2"/>
      <c r="E167" s="2"/>
      <c r="F167" s="2"/>
    </row>
    <row r="168" spans="4:6" x14ac:dyDescent="0.25">
      <c r="D168" s="2"/>
      <c r="E168" s="2"/>
      <c r="F168" s="2"/>
    </row>
    <row r="169" spans="4:6" x14ac:dyDescent="0.25">
      <c r="D169" s="2"/>
      <c r="E169" s="2"/>
      <c r="F169" s="2"/>
    </row>
    <row r="170" spans="4:6" x14ac:dyDescent="0.25">
      <c r="D170" s="2"/>
      <c r="E170" s="2"/>
      <c r="F170" s="2"/>
    </row>
    <row r="171" spans="4:6" x14ac:dyDescent="0.25">
      <c r="D171" s="2"/>
      <c r="E171" s="2"/>
      <c r="F171" s="2"/>
    </row>
    <row r="172" spans="4:6" x14ac:dyDescent="0.25">
      <c r="D172" s="2"/>
      <c r="E172" s="2"/>
      <c r="F172" s="2"/>
    </row>
    <row r="173" spans="4:6" x14ac:dyDescent="0.25">
      <c r="D173" s="2"/>
      <c r="E173" s="2"/>
      <c r="F173" s="2"/>
    </row>
    <row r="174" spans="4:6" x14ac:dyDescent="0.25">
      <c r="D174" s="2"/>
      <c r="E174" s="2"/>
      <c r="F174" s="2"/>
    </row>
    <row r="175" spans="4:6" x14ac:dyDescent="0.25">
      <c r="D175" s="2"/>
      <c r="E175" s="2"/>
      <c r="F175" s="2"/>
    </row>
    <row r="176" spans="4:6" x14ac:dyDescent="0.25">
      <c r="D176" s="2"/>
      <c r="E176" s="2"/>
      <c r="F176" s="2"/>
    </row>
    <row r="177" spans="4:6" x14ac:dyDescent="0.25">
      <c r="D177" s="2"/>
      <c r="E177" s="2"/>
      <c r="F177" s="2"/>
    </row>
    <row r="178" spans="4:6" x14ac:dyDescent="0.25">
      <c r="D178" s="2"/>
      <c r="E178" s="2"/>
      <c r="F178" s="2"/>
    </row>
    <row r="179" spans="4:6" x14ac:dyDescent="0.25">
      <c r="D179" s="2"/>
      <c r="E179" s="2"/>
      <c r="F179" s="2"/>
    </row>
    <row r="180" spans="4:6" x14ac:dyDescent="0.25">
      <c r="D180" s="2"/>
      <c r="E180" s="2"/>
      <c r="F180" s="2"/>
    </row>
    <row r="181" spans="4:6" x14ac:dyDescent="0.25">
      <c r="D181" s="2"/>
      <c r="E181" s="2"/>
      <c r="F181" s="2"/>
    </row>
    <row r="182" spans="4:6" x14ac:dyDescent="0.25">
      <c r="D182" s="2"/>
      <c r="E182" s="2"/>
      <c r="F182" s="2"/>
    </row>
    <row r="183" spans="4:6" x14ac:dyDescent="0.25">
      <c r="D183" s="2"/>
      <c r="E183" s="2"/>
      <c r="F183" s="2"/>
    </row>
    <row r="184" spans="4:6" x14ac:dyDescent="0.25">
      <c r="D184" s="2"/>
      <c r="E184" s="2"/>
      <c r="F184" s="2"/>
    </row>
    <row r="185" spans="4:6" x14ac:dyDescent="0.25">
      <c r="D185" s="2"/>
      <c r="E185" s="2"/>
      <c r="F185" s="2"/>
    </row>
    <row r="186" spans="4:6" x14ac:dyDescent="0.25">
      <c r="D186" s="2"/>
      <c r="E186" s="2"/>
      <c r="F186" s="2"/>
    </row>
    <row r="187" spans="4:6" x14ac:dyDescent="0.25">
      <c r="D187" s="2"/>
      <c r="E187" s="2"/>
      <c r="F187" s="2"/>
    </row>
    <row r="188" spans="4:6" x14ac:dyDescent="0.25">
      <c r="D188" s="2"/>
      <c r="E188" s="2"/>
      <c r="F188" s="2"/>
    </row>
    <row r="189" spans="4:6" x14ac:dyDescent="0.25">
      <c r="D189" s="2"/>
      <c r="E189" s="2"/>
      <c r="F189" s="2"/>
    </row>
    <row r="190" spans="4:6" x14ac:dyDescent="0.25">
      <c r="D190" s="2"/>
      <c r="E190" s="2"/>
      <c r="F190" s="2"/>
    </row>
    <row r="191" spans="4:6" x14ac:dyDescent="0.25">
      <c r="D191" s="2"/>
      <c r="E191" s="2"/>
      <c r="F191" s="2"/>
    </row>
    <row r="192" spans="4:6" x14ac:dyDescent="0.25">
      <c r="D192" s="2"/>
      <c r="E192" s="2"/>
      <c r="F192" s="2"/>
    </row>
    <row r="193" spans="4:6" x14ac:dyDescent="0.25">
      <c r="D193" s="2"/>
      <c r="E193" s="2"/>
      <c r="F193" s="2"/>
    </row>
    <row r="194" spans="4:6" x14ac:dyDescent="0.25">
      <c r="D194" s="2"/>
      <c r="E194" s="2"/>
      <c r="F194" s="2"/>
    </row>
    <row r="195" spans="4:6" x14ac:dyDescent="0.25">
      <c r="D195" s="2"/>
      <c r="E195" s="2"/>
      <c r="F195" s="2"/>
    </row>
    <row r="196" spans="4:6" x14ac:dyDescent="0.25">
      <c r="D196" s="2"/>
      <c r="E196" s="2"/>
      <c r="F196" s="2"/>
    </row>
    <row r="197" spans="4:6" x14ac:dyDescent="0.25">
      <c r="D197" s="2"/>
      <c r="E197" s="2"/>
      <c r="F197" s="2"/>
    </row>
    <row r="198" spans="4:6" x14ac:dyDescent="0.25">
      <c r="D198" s="2"/>
      <c r="E198" s="2"/>
      <c r="F198" s="2"/>
    </row>
    <row r="199" spans="4:6" x14ac:dyDescent="0.25">
      <c r="D199" s="2"/>
      <c r="E199" s="2"/>
      <c r="F199" s="2"/>
    </row>
    <row r="200" spans="4:6" x14ac:dyDescent="0.25">
      <c r="D200" s="2"/>
      <c r="E200" s="2"/>
      <c r="F200" s="2"/>
    </row>
    <row r="201" spans="4:6" x14ac:dyDescent="0.25">
      <c r="D201" s="2"/>
      <c r="E201" s="2"/>
      <c r="F201" s="2"/>
    </row>
    <row r="202" spans="4:6" x14ac:dyDescent="0.25">
      <c r="D202" s="2"/>
      <c r="E202" s="2"/>
      <c r="F202" s="2"/>
    </row>
    <row r="203" spans="4:6" x14ac:dyDescent="0.25">
      <c r="D203" s="2"/>
      <c r="E203" s="2"/>
      <c r="F203" s="2"/>
    </row>
    <row r="204" spans="4:6" x14ac:dyDescent="0.25">
      <c r="D204" s="2"/>
      <c r="E204" s="2"/>
      <c r="F204" s="2"/>
    </row>
    <row r="205" spans="4:6" x14ac:dyDescent="0.25">
      <c r="D205" s="2"/>
      <c r="E205" s="2"/>
      <c r="F205" s="2"/>
    </row>
    <row r="206" spans="4:6" x14ac:dyDescent="0.25">
      <c r="D206" s="2"/>
      <c r="E206" s="2"/>
      <c r="F206" s="2"/>
    </row>
    <row r="207" spans="4:6" x14ac:dyDescent="0.25">
      <c r="D207" s="2"/>
      <c r="E207" s="2"/>
      <c r="F207" s="2"/>
    </row>
    <row r="208" spans="4:6" x14ac:dyDescent="0.25">
      <c r="D208" s="2"/>
      <c r="E208" s="2"/>
      <c r="F208" s="2"/>
    </row>
    <row r="209" spans="4:6" x14ac:dyDescent="0.25">
      <c r="D209" s="2"/>
      <c r="E209" s="2"/>
      <c r="F209" s="2"/>
    </row>
    <row r="210" spans="4:6" x14ac:dyDescent="0.25">
      <c r="D210" s="2"/>
      <c r="E210" s="2"/>
      <c r="F210" s="2"/>
    </row>
    <row r="211" spans="4:6" x14ac:dyDescent="0.25">
      <c r="D211" s="2"/>
      <c r="E211" s="2"/>
      <c r="F211" s="2"/>
    </row>
    <row r="212" spans="4:6" x14ac:dyDescent="0.25">
      <c r="D212" s="2"/>
      <c r="E212" s="2"/>
      <c r="F212" s="2"/>
    </row>
    <row r="213" spans="4:6" x14ac:dyDescent="0.25">
      <c r="D213" s="2"/>
      <c r="E213" s="2"/>
      <c r="F213" s="2"/>
    </row>
    <row r="214" spans="4:6" x14ac:dyDescent="0.25">
      <c r="D214" s="2"/>
      <c r="E214" s="2"/>
      <c r="F214" s="2"/>
    </row>
    <row r="215" spans="4:6" x14ac:dyDescent="0.25">
      <c r="D215" s="2"/>
      <c r="E215" s="2"/>
      <c r="F215" s="2"/>
    </row>
    <row r="216" spans="4:6" x14ac:dyDescent="0.25">
      <c r="D216" s="2"/>
      <c r="E216" s="2"/>
      <c r="F216" s="2"/>
    </row>
    <row r="217" spans="4:6" x14ac:dyDescent="0.25">
      <c r="D217" s="2"/>
      <c r="E217" s="2"/>
      <c r="F217" s="2"/>
    </row>
    <row r="218" spans="4:6" x14ac:dyDescent="0.25">
      <c r="D218" s="2"/>
      <c r="E218" s="2"/>
      <c r="F218" s="2"/>
    </row>
    <row r="219" spans="4:6" x14ac:dyDescent="0.25">
      <c r="D219" s="2"/>
      <c r="E219" s="2"/>
      <c r="F219" s="2"/>
    </row>
    <row r="220" spans="4:6" x14ac:dyDescent="0.25">
      <c r="D220" s="2"/>
      <c r="E220" s="2"/>
      <c r="F220" s="2"/>
    </row>
    <row r="221" spans="4:6" x14ac:dyDescent="0.25">
      <c r="D221" s="2"/>
      <c r="E221" s="2"/>
      <c r="F221" s="2"/>
    </row>
    <row r="222" spans="4:6" x14ac:dyDescent="0.25">
      <c r="D222" s="2"/>
      <c r="E222" s="2"/>
      <c r="F222" s="2"/>
    </row>
    <row r="223" spans="4:6" x14ac:dyDescent="0.25">
      <c r="D223" s="2"/>
      <c r="E223" s="2"/>
      <c r="F223" s="2"/>
    </row>
    <row r="224" spans="4:6" x14ac:dyDescent="0.25">
      <c r="D224" s="2"/>
      <c r="E224" s="2"/>
      <c r="F224" s="2"/>
    </row>
    <row r="225" spans="4:6" x14ac:dyDescent="0.25">
      <c r="D225" s="2"/>
      <c r="E225" s="2"/>
      <c r="F225" s="2"/>
    </row>
    <row r="226" spans="4:6" x14ac:dyDescent="0.25">
      <c r="D226" s="2"/>
      <c r="E226" s="2"/>
      <c r="F226" s="2"/>
    </row>
    <row r="227" spans="4:6" x14ac:dyDescent="0.25">
      <c r="D227" s="2"/>
      <c r="E227" s="2"/>
      <c r="F227" s="2"/>
    </row>
    <row r="228" spans="4:6" x14ac:dyDescent="0.25">
      <c r="D228" s="2"/>
      <c r="E228" s="2"/>
      <c r="F228" s="2"/>
    </row>
    <row r="229" spans="4:6" x14ac:dyDescent="0.25">
      <c r="D229" s="2"/>
      <c r="E229" s="2"/>
      <c r="F229" s="2"/>
    </row>
    <row r="230" spans="4:6" x14ac:dyDescent="0.25">
      <c r="D230" s="2"/>
      <c r="E230" s="2"/>
      <c r="F230" s="2"/>
    </row>
    <row r="231" spans="4:6" x14ac:dyDescent="0.25">
      <c r="D231" s="2"/>
      <c r="E231" s="2"/>
      <c r="F231" s="2"/>
    </row>
    <row r="232" spans="4:6" x14ac:dyDescent="0.25">
      <c r="D232" s="2"/>
      <c r="E232" s="2"/>
      <c r="F232" s="2"/>
    </row>
    <row r="233" spans="4:6" x14ac:dyDescent="0.25">
      <c r="D233" s="2"/>
      <c r="E233" s="2"/>
      <c r="F233" s="2"/>
    </row>
    <row r="234" spans="4:6" x14ac:dyDescent="0.25">
      <c r="D234" s="2"/>
      <c r="E234" s="2"/>
      <c r="F234" s="2"/>
    </row>
    <row r="235" spans="4:6" x14ac:dyDescent="0.25">
      <c r="D235" s="2"/>
      <c r="E235" s="2"/>
      <c r="F235" s="2"/>
    </row>
    <row r="236" spans="4:6" x14ac:dyDescent="0.25">
      <c r="D236" s="2"/>
      <c r="E236" s="2"/>
      <c r="F236" s="2"/>
    </row>
    <row r="237" spans="4:6" x14ac:dyDescent="0.25">
      <c r="D237" s="2"/>
      <c r="E237" s="2"/>
      <c r="F237" s="2"/>
    </row>
    <row r="238" spans="4:6" x14ac:dyDescent="0.25">
      <c r="D238" s="2"/>
      <c r="E238" s="2"/>
      <c r="F238" s="2"/>
    </row>
    <row r="239" spans="4:6" x14ac:dyDescent="0.25">
      <c r="D239" s="2"/>
      <c r="E239" s="2"/>
      <c r="F239" s="2"/>
    </row>
    <row r="240" spans="4:6" x14ac:dyDescent="0.25">
      <c r="D240" s="2"/>
      <c r="E240" s="2"/>
      <c r="F240" s="2"/>
    </row>
    <row r="241" spans="4:6" x14ac:dyDescent="0.25">
      <c r="D241" s="2"/>
      <c r="E241" s="2"/>
      <c r="F241" s="2"/>
    </row>
    <row r="242" spans="4:6" x14ac:dyDescent="0.25">
      <c r="D242" s="2"/>
      <c r="E242" s="2"/>
      <c r="F242" s="2"/>
    </row>
    <row r="243" spans="4:6" x14ac:dyDescent="0.25">
      <c r="D243" s="2"/>
      <c r="E243" s="2"/>
      <c r="F243" s="2"/>
    </row>
    <row r="244" spans="4:6" x14ac:dyDescent="0.25">
      <c r="D244" s="2"/>
      <c r="E244" s="2"/>
      <c r="F244" s="2"/>
    </row>
    <row r="245" spans="4:6" x14ac:dyDescent="0.25">
      <c r="D245" s="2"/>
      <c r="E245" s="2"/>
      <c r="F245" s="2"/>
    </row>
    <row r="246" spans="4:6" x14ac:dyDescent="0.25">
      <c r="D246" s="2"/>
      <c r="E246" s="2"/>
      <c r="F246" s="2"/>
    </row>
    <row r="247" spans="4:6" x14ac:dyDescent="0.25">
      <c r="D247" s="2"/>
      <c r="E247" s="2"/>
      <c r="F247" s="2"/>
    </row>
    <row r="248" spans="4:6" x14ac:dyDescent="0.25">
      <c r="D248" s="2"/>
      <c r="E248" s="2"/>
      <c r="F248" s="2"/>
    </row>
    <row r="249" spans="4:6" x14ac:dyDescent="0.25">
      <c r="D249" s="2"/>
      <c r="E249" s="2"/>
      <c r="F249" s="2"/>
    </row>
    <row r="250" spans="4:6" x14ac:dyDescent="0.25">
      <c r="D250" s="2"/>
      <c r="E250" s="2"/>
      <c r="F250" s="2"/>
    </row>
    <row r="251" spans="4:6" x14ac:dyDescent="0.25">
      <c r="D251" s="2"/>
      <c r="E251" s="2"/>
      <c r="F251" s="2"/>
    </row>
    <row r="252" spans="4:6" x14ac:dyDescent="0.25">
      <c r="D252" s="2"/>
      <c r="E252" s="2"/>
      <c r="F252" s="2"/>
    </row>
    <row r="253" spans="4:6" x14ac:dyDescent="0.25">
      <c r="D253" s="2"/>
      <c r="E253" s="2"/>
      <c r="F253" s="2"/>
    </row>
    <row r="254" spans="4:6" x14ac:dyDescent="0.25">
      <c r="D254" s="2"/>
      <c r="E254" s="2"/>
      <c r="F254" s="2"/>
    </row>
    <row r="255" spans="4:6" x14ac:dyDescent="0.25">
      <c r="D255" s="2"/>
      <c r="E255" s="2"/>
      <c r="F255" s="2"/>
    </row>
    <row r="256" spans="4:6" x14ac:dyDescent="0.25">
      <c r="D256" s="2"/>
      <c r="E256" s="2"/>
      <c r="F256" s="2"/>
    </row>
    <row r="257" spans="4:6" x14ac:dyDescent="0.25">
      <c r="D257" s="2"/>
      <c r="E257" s="2"/>
      <c r="F257" s="2"/>
    </row>
    <row r="258" spans="4:6" x14ac:dyDescent="0.25">
      <c r="D258" s="2"/>
      <c r="E258" s="2"/>
      <c r="F258" s="2"/>
    </row>
    <row r="259" spans="4:6" x14ac:dyDescent="0.25">
      <c r="D259" s="2"/>
      <c r="E259" s="2"/>
      <c r="F259" s="2"/>
    </row>
    <row r="260" spans="4:6" x14ac:dyDescent="0.25">
      <c r="D260" s="2"/>
      <c r="E260" s="2"/>
      <c r="F260" s="2"/>
    </row>
    <row r="261" spans="4:6" x14ac:dyDescent="0.25">
      <c r="D261" s="2"/>
      <c r="E261" s="2"/>
      <c r="F261" s="2"/>
    </row>
    <row r="262" spans="4:6" x14ac:dyDescent="0.25">
      <c r="D262" s="2"/>
      <c r="E262" s="2"/>
      <c r="F262" s="2"/>
    </row>
    <row r="263" spans="4:6" x14ac:dyDescent="0.25">
      <c r="D263" s="2"/>
      <c r="E263" s="2"/>
      <c r="F263" s="2"/>
    </row>
    <row r="264" spans="4:6" x14ac:dyDescent="0.25">
      <c r="D264" s="2"/>
      <c r="E264" s="2"/>
      <c r="F264" s="2"/>
    </row>
    <row r="265" spans="4:6" x14ac:dyDescent="0.25">
      <c r="D265" s="2"/>
      <c r="E265" s="2"/>
      <c r="F265" s="2"/>
    </row>
    <row r="266" spans="4:6" x14ac:dyDescent="0.25">
      <c r="D266" s="2"/>
      <c r="E266" s="2"/>
      <c r="F266" s="2"/>
    </row>
    <row r="267" spans="4:6" x14ac:dyDescent="0.25">
      <c r="D267" s="2"/>
      <c r="E267" s="2"/>
      <c r="F267" s="2"/>
    </row>
    <row r="268" spans="4:6" x14ac:dyDescent="0.25">
      <c r="D268" s="2"/>
      <c r="E268" s="2"/>
      <c r="F268" s="2"/>
    </row>
    <row r="269" spans="4:6" x14ac:dyDescent="0.25">
      <c r="D269" s="2"/>
      <c r="E269" s="2"/>
      <c r="F269" s="2"/>
    </row>
    <row r="270" spans="4:6" x14ac:dyDescent="0.25">
      <c r="D270" s="2"/>
      <c r="E270" s="2"/>
      <c r="F270" s="2"/>
    </row>
    <row r="271" spans="4:6" x14ac:dyDescent="0.25">
      <c r="D271" s="2"/>
      <c r="E271" s="2"/>
      <c r="F271" s="2"/>
    </row>
    <row r="272" spans="4:6" x14ac:dyDescent="0.25">
      <c r="D272" s="2"/>
      <c r="E272" s="2"/>
      <c r="F272" s="2"/>
    </row>
    <row r="273" spans="4:6" x14ac:dyDescent="0.25">
      <c r="D273" s="2"/>
      <c r="E273" s="2"/>
      <c r="F273" s="2"/>
    </row>
    <row r="274" spans="4:6" x14ac:dyDescent="0.25">
      <c r="D274" s="2"/>
      <c r="E274" s="2"/>
      <c r="F274" s="2"/>
    </row>
    <row r="275" spans="4:6" x14ac:dyDescent="0.25">
      <c r="D275" s="2"/>
      <c r="E275" s="2"/>
      <c r="F275" s="2"/>
    </row>
    <row r="276" spans="4:6" x14ac:dyDescent="0.25">
      <c r="D276" s="2"/>
      <c r="E276" s="2"/>
      <c r="F276" s="2"/>
    </row>
    <row r="277" spans="4:6" x14ac:dyDescent="0.25">
      <c r="D277" s="2"/>
      <c r="E277" s="2"/>
      <c r="F277" s="2"/>
    </row>
    <row r="278" spans="4:6" x14ac:dyDescent="0.25">
      <c r="D278" s="2"/>
      <c r="E278" s="2"/>
      <c r="F278" s="2"/>
    </row>
    <row r="279" spans="4:6" x14ac:dyDescent="0.25">
      <c r="D279" s="2"/>
      <c r="E279" s="2"/>
      <c r="F279" s="2"/>
    </row>
    <row r="280" spans="4:6" x14ac:dyDescent="0.25">
      <c r="D280" s="2"/>
      <c r="E280" s="2"/>
      <c r="F280" s="2"/>
    </row>
    <row r="281" spans="4:6" x14ac:dyDescent="0.25">
      <c r="D281" s="2"/>
      <c r="E281" s="2"/>
      <c r="F281" s="2"/>
    </row>
    <row r="282" spans="4:6" x14ac:dyDescent="0.25">
      <c r="D282" s="2"/>
      <c r="E282" s="2"/>
      <c r="F282" s="2"/>
    </row>
    <row r="283" spans="4:6" x14ac:dyDescent="0.25">
      <c r="D283" s="2"/>
      <c r="E283" s="2"/>
      <c r="F283" s="2"/>
    </row>
    <row r="284" spans="4:6" x14ac:dyDescent="0.25">
      <c r="D284" s="2"/>
      <c r="E284" s="2"/>
      <c r="F284" s="2"/>
    </row>
    <row r="285" spans="4:6" x14ac:dyDescent="0.25">
      <c r="D285" s="2"/>
      <c r="E285" s="2"/>
      <c r="F285" s="2"/>
    </row>
    <row r="286" spans="4:6" x14ac:dyDescent="0.25">
      <c r="D286" s="2"/>
      <c r="E286" s="2"/>
      <c r="F286" s="2"/>
    </row>
    <row r="287" spans="4:6" x14ac:dyDescent="0.25">
      <c r="D287" s="2"/>
      <c r="E287" s="2"/>
      <c r="F287" s="2"/>
    </row>
    <row r="288" spans="4:6" x14ac:dyDescent="0.25">
      <c r="D288" s="2"/>
      <c r="E288" s="2"/>
      <c r="F288" s="2"/>
    </row>
    <row r="289" spans="4:6" x14ac:dyDescent="0.25">
      <c r="D289" s="2"/>
      <c r="E289" s="2"/>
      <c r="F289" s="2"/>
    </row>
    <row r="290" spans="4:6" x14ac:dyDescent="0.25">
      <c r="D290" s="2"/>
      <c r="E290" s="2"/>
      <c r="F290" s="2"/>
    </row>
    <row r="291" spans="4:6" x14ac:dyDescent="0.25">
      <c r="D291" s="2"/>
      <c r="E291" s="2"/>
      <c r="F291" s="2"/>
    </row>
    <row r="292" spans="4:6" x14ac:dyDescent="0.25">
      <c r="D292" s="2"/>
      <c r="E292" s="2"/>
      <c r="F292" s="2"/>
    </row>
    <row r="293" spans="4:6" x14ac:dyDescent="0.25">
      <c r="D293" s="2"/>
      <c r="E293" s="2"/>
      <c r="F293" s="2"/>
    </row>
    <row r="294" spans="4:6" x14ac:dyDescent="0.25">
      <c r="D294" s="2"/>
      <c r="E294" s="2"/>
      <c r="F294" s="2"/>
    </row>
    <row r="295" spans="4:6" x14ac:dyDescent="0.25">
      <c r="D295" s="2"/>
      <c r="E295" s="2"/>
      <c r="F295" s="2"/>
    </row>
    <row r="296" spans="4:6" x14ac:dyDescent="0.25">
      <c r="D296" s="2"/>
      <c r="E296" s="2"/>
      <c r="F296" s="2"/>
    </row>
    <row r="297" spans="4:6" x14ac:dyDescent="0.25">
      <c r="D297" s="2"/>
      <c r="E297" s="2"/>
      <c r="F297" s="2"/>
    </row>
    <row r="298" spans="4:6" x14ac:dyDescent="0.25">
      <c r="D298" s="2"/>
      <c r="E298" s="2"/>
      <c r="F298" s="2"/>
    </row>
    <row r="299" spans="4:6" x14ac:dyDescent="0.25">
      <c r="D299" s="2"/>
      <c r="E299" s="2"/>
      <c r="F299" s="2"/>
    </row>
    <row r="300" spans="4:6" x14ac:dyDescent="0.25">
      <c r="D300" s="2"/>
      <c r="E300" s="2"/>
      <c r="F300" s="2"/>
    </row>
    <row r="301" spans="4:6" x14ac:dyDescent="0.25">
      <c r="D301" s="2"/>
      <c r="E301" s="2"/>
      <c r="F301" s="2"/>
    </row>
    <row r="302" spans="4:6" x14ac:dyDescent="0.25">
      <c r="D302" s="2"/>
      <c r="E302" s="2"/>
      <c r="F302" s="2"/>
    </row>
    <row r="303" spans="4:6" x14ac:dyDescent="0.25">
      <c r="D303" s="2"/>
      <c r="E303" s="2"/>
      <c r="F303" s="2"/>
    </row>
    <row r="304" spans="4:6" x14ac:dyDescent="0.25">
      <c r="D304" s="2"/>
      <c r="E304" s="2"/>
      <c r="F304" s="2"/>
    </row>
    <row r="305" spans="4:6" x14ac:dyDescent="0.25">
      <c r="D305" s="2"/>
      <c r="E305" s="2"/>
      <c r="F305" s="2"/>
    </row>
    <row r="306" spans="4:6" x14ac:dyDescent="0.25">
      <c r="D306" s="2"/>
      <c r="E306" s="2"/>
      <c r="F306" s="2"/>
    </row>
    <row r="307" spans="4:6" x14ac:dyDescent="0.25">
      <c r="D307" s="2"/>
      <c r="E307" s="2"/>
      <c r="F307" s="2"/>
    </row>
    <row r="308" spans="4:6" x14ac:dyDescent="0.25">
      <c r="D308" s="2"/>
      <c r="E308" s="2"/>
      <c r="F308" s="2"/>
    </row>
    <row r="309" spans="4:6" x14ac:dyDescent="0.25">
      <c r="D309" s="2"/>
      <c r="E309" s="2"/>
      <c r="F309" s="2"/>
    </row>
    <row r="310" spans="4:6" x14ac:dyDescent="0.25">
      <c r="D310" s="2"/>
      <c r="E310" s="2"/>
      <c r="F310" s="2"/>
    </row>
    <row r="311" spans="4:6" x14ac:dyDescent="0.25">
      <c r="D311" s="2"/>
      <c r="E311" s="2"/>
      <c r="F311" s="2"/>
    </row>
    <row r="312" spans="4:6" x14ac:dyDescent="0.25">
      <c r="D312" s="2"/>
      <c r="E312" s="2"/>
      <c r="F312" s="2"/>
    </row>
    <row r="313" spans="4:6" x14ac:dyDescent="0.25">
      <c r="D313" s="2"/>
      <c r="E313" s="2"/>
      <c r="F313" s="2"/>
    </row>
    <row r="314" spans="4:6" x14ac:dyDescent="0.25">
      <c r="D314" s="2"/>
      <c r="E314" s="2"/>
      <c r="F314" s="2"/>
    </row>
    <row r="315" spans="4:6" x14ac:dyDescent="0.25">
      <c r="D315" s="2"/>
      <c r="E315" s="2"/>
      <c r="F315" s="2"/>
    </row>
    <row r="316" spans="4:6" x14ac:dyDescent="0.25">
      <c r="D316" s="2"/>
      <c r="E316" s="2"/>
      <c r="F316" s="2"/>
    </row>
    <row r="317" spans="4:6" x14ac:dyDescent="0.25">
      <c r="D317" s="2"/>
      <c r="E317" s="2"/>
      <c r="F317" s="2"/>
    </row>
    <row r="318" spans="4:6" x14ac:dyDescent="0.25">
      <c r="D318" s="2"/>
      <c r="E318" s="2"/>
      <c r="F318" s="2"/>
    </row>
    <row r="319" spans="4:6" x14ac:dyDescent="0.25">
      <c r="D319" s="2"/>
      <c r="E319" s="2"/>
      <c r="F319" s="2"/>
    </row>
    <row r="320" spans="4:6" x14ac:dyDescent="0.25">
      <c r="D320" s="2"/>
      <c r="E320" s="2"/>
      <c r="F320" s="2"/>
    </row>
    <row r="321" spans="4:6" x14ac:dyDescent="0.25">
      <c r="D321" s="2"/>
      <c r="E321" s="2"/>
      <c r="F321" s="2"/>
    </row>
    <row r="322" spans="4:6" x14ac:dyDescent="0.25">
      <c r="D322" s="2"/>
      <c r="E322" s="2"/>
      <c r="F322" s="2"/>
    </row>
    <row r="323" spans="4:6" x14ac:dyDescent="0.25">
      <c r="D323" s="2"/>
      <c r="E323" s="2"/>
      <c r="F323" s="2"/>
    </row>
    <row r="324" spans="4:6" x14ac:dyDescent="0.25">
      <c r="D324" s="2"/>
      <c r="E324" s="2"/>
      <c r="F324" s="2"/>
    </row>
    <row r="325" spans="4:6" x14ac:dyDescent="0.25">
      <c r="D325" s="2"/>
      <c r="E325" s="2"/>
      <c r="F325" s="2"/>
    </row>
    <row r="326" spans="4:6" x14ac:dyDescent="0.25">
      <c r="D326" s="2"/>
      <c r="E326" s="2"/>
      <c r="F326" s="2"/>
    </row>
    <row r="327" spans="4:6" x14ac:dyDescent="0.25">
      <c r="D327" s="2"/>
      <c r="E327" s="2"/>
      <c r="F327" s="2"/>
    </row>
    <row r="328" spans="4:6" x14ac:dyDescent="0.25">
      <c r="D328" s="2"/>
      <c r="E328" s="2"/>
      <c r="F328" s="2"/>
    </row>
    <row r="329" spans="4:6" x14ac:dyDescent="0.25">
      <c r="D329" s="2"/>
      <c r="E329" s="2"/>
      <c r="F329" s="2"/>
    </row>
    <row r="330" spans="4:6" x14ac:dyDescent="0.25">
      <c r="D330" s="2"/>
      <c r="E330" s="2"/>
      <c r="F330" s="2"/>
    </row>
    <row r="331" spans="4:6" x14ac:dyDescent="0.25">
      <c r="D331" s="2"/>
      <c r="E331" s="2"/>
      <c r="F331" s="2"/>
    </row>
    <row r="332" spans="4:6" x14ac:dyDescent="0.25">
      <c r="D332" s="2"/>
      <c r="E332" s="2"/>
      <c r="F332" s="2"/>
    </row>
    <row r="333" spans="4:6" x14ac:dyDescent="0.25">
      <c r="D333" s="2"/>
      <c r="E333" s="2"/>
      <c r="F333" s="2"/>
    </row>
    <row r="334" spans="4:6" x14ac:dyDescent="0.25">
      <c r="D334" s="2"/>
      <c r="E334" s="2"/>
      <c r="F334" s="2"/>
    </row>
    <row r="335" spans="4:6" x14ac:dyDescent="0.25">
      <c r="D335" s="2"/>
      <c r="E335" s="2"/>
      <c r="F335" s="2"/>
    </row>
    <row r="336" spans="4:6" x14ac:dyDescent="0.25">
      <c r="D336" s="2"/>
      <c r="E336" s="2"/>
      <c r="F336" s="2"/>
    </row>
    <row r="337" spans="4:6" x14ac:dyDescent="0.25">
      <c r="D337" s="2"/>
      <c r="E337" s="2"/>
      <c r="F337" s="2"/>
    </row>
    <row r="338" spans="4:6" x14ac:dyDescent="0.25">
      <c r="D338" s="2"/>
      <c r="E338" s="2"/>
      <c r="F338" s="2"/>
    </row>
    <row r="339" spans="4:6" x14ac:dyDescent="0.25">
      <c r="D339" s="2"/>
      <c r="E339" s="2"/>
      <c r="F339" s="2"/>
    </row>
    <row r="340" spans="4:6" x14ac:dyDescent="0.25">
      <c r="D340" s="2"/>
      <c r="E340" s="2"/>
      <c r="F340" s="2"/>
    </row>
    <row r="341" spans="4:6" x14ac:dyDescent="0.25">
      <c r="D341" s="2"/>
      <c r="E341" s="2"/>
      <c r="F341" s="2"/>
    </row>
    <row r="342" spans="4:6" x14ac:dyDescent="0.25">
      <c r="D342" s="2"/>
      <c r="E342" s="2"/>
      <c r="F342" s="2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9"/>
  <sheetViews>
    <sheetView zoomScale="95" zoomScaleNormal="95" workbookViewId="0">
      <selection activeCell="H13" sqref="H13"/>
    </sheetView>
  </sheetViews>
  <sheetFormatPr defaultColWidth="8.28515625" defaultRowHeight="14.25" customHeight="1" x14ac:dyDescent="0.25"/>
  <cols>
    <col min="1" max="1" width="12" style="24" customWidth="1"/>
    <col min="2" max="2" width="12" style="25" customWidth="1"/>
  </cols>
  <sheetData>
    <row r="1" spans="1:15" s="26" customFormat="1" x14ac:dyDescent="0.25">
      <c r="A1" s="24" t="s">
        <v>40</v>
      </c>
      <c r="B1" s="26">
        <v>0.5</v>
      </c>
      <c r="C1" s="27">
        <v>1</v>
      </c>
      <c r="D1" s="26">
        <v>1.5</v>
      </c>
      <c r="E1" s="26">
        <v>2</v>
      </c>
      <c r="F1" s="26">
        <v>2.5</v>
      </c>
      <c r="G1" s="26">
        <v>3</v>
      </c>
      <c r="H1" s="26">
        <v>3.5</v>
      </c>
      <c r="I1" s="26">
        <v>4</v>
      </c>
      <c r="J1" s="26">
        <v>4.5</v>
      </c>
      <c r="K1" s="26">
        <v>5</v>
      </c>
      <c r="L1" s="26">
        <v>5.5</v>
      </c>
      <c r="M1" s="26">
        <v>6</v>
      </c>
      <c r="N1" s="26">
        <v>6.5</v>
      </c>
      <c r="O1" s="26">
        <v>7</v>
      </c>
    </row>
    <row r="2" spans="1:15" x14ac:dyDescent="0.25">
      <c r="A2" s="24">
        <v>1</v>
      </c>
      <c r="B2" s="28"/>
      <c r="C2">
        <v>0</v>
      </c>
      <c r="D2">
        <v>0.5</v>
      </c>
      <c r="F2" t="s">
        <v>41</v>
      </c>
      <c r="G2">
        <v>1</v>
      </c>
      <c r="H2">
        <v>1</v>
      </c>
      <c r="K2">
        <v>2.5</v>
      </c>
      <c r="M2">
        <v>2.5</v>
      </c>
      <c r="O2">
        <v>3</v>
      </c>
    </row>
    <row r="3" spans="1:15" x14ac:dyDescent="0.25">
      <c r="A3" s="24">
        <v>2</v>
      </c>
      <c r="D3">
        <v>1</v>
      </c>
      <c r="E3">
        <v>2</v>
      </c>
      <c r="F3">
        <v>2.5</v>
      </c>
      <c r="G3">
        <v>3</v>
      </c>
      <c r="H3">
        <v>3.5</v>
      </c>
      <c r="I3">
        <v>4</v>
      </c>
    </row>
    <row r="4" spans="1:15" x14ac:dyDescent="0.25">
      <c r="A4" s="24">
        <v>3</v>
      </c>
      <c r="E4">
        <v>0</v>
      </c>
      <c r="F4">
        <v>0</v>
      </c>
      <c r="H4">
        <v>0.2</v>
      </c>
      <c r="J4">
        <v>0.8</v>
      </c>
    </row>
    <row r="5" spans="1:15" x14ac:dyDescent="0.25">
      <c r="A5" s="24">
        <v>4</v>
      </c>
      <c r="B5" s="25">
        <v>2</v>
      </c>
      <c r="C5">
        <v>3</v>
      </c>
      <c r="D5">
        <v>3</v>
      </c>
      <c r="E5">
        <v>5</v>
      </c>
    </row>
    <row r="6" spans="1:15" x14ac:dyDescent="0.25">
      <c r="A6" s="24">
        <v>5</v>
      </c>
      <c r="C6">
        <v>2</v>
      </c>
      <c r="D6">
        <v>2</v>
      </c>
      <c r="E6">
        <v>3</v>
      </c>
      <c r="F6">
        <v>4</v>
      </c>
      <c r="G6">
        <v>4</v>
      </c>
    </row>
    <row r="7" spans="1:15" x14ac:dyDescent="0.25">
      <c r="A7" s="24">
        <v>6</v>
      </c>
      <c r="C7">
        <v>2</v>
      </c>
      <c r="D7">
        <v>3</v>
      </c>
      <c r="E7">
        <v>5</v>
      </c>
      <c r="F7" t="s">
        <v>42</v>
      </c>
    </row>
    <row r="8" spans="1:15" x14ac:dyDescent="0.25">
      <c r="A8" s="24">
        <v>7</v>
      </c>
      <c r="C8">
        <v>1</v>
      </c>
      <c r="D8">
        <v>1.5</v>
      </c>
      <c r="E8">
        <v>2.7</v>
      </c>
      <c r="F8">
        <v>3.8</v>
      </c>
      <c r="G8">
        <v>5</v>
      </c>
    </row>
    <row r="9" spans="1:15" x14ac:dyDescent="0.25">
      <c r="A9" s="24">
        <v>8</v>
      </c>
      <c r="C9">
        <v>0</v>
      </c>
      <c r="D9">
        <v>2</v>
      </c>
      <c r="E9">
        <v>6</v>
      </c>
    </row>
    <row r="10" spans="1:15" x14ac:dyDescent="0.25">
      <c r="A10" s="24">
        <v>9</v>
      </c>
      <c r="C10">
        <v>0</v>
      </c>
      <c r="D10">
        <v>0</v>
      </c>
      <c r="E10">
        <v>0</v>
      </c>
      <c r="F10">
        <v>0.5</v>
      </c>
      <c r="G10">
        <v>0.75</v>
      </c>
      <c r="H10">
        <v>1</v>
      </c>
      <c r="I10">
        <v>1.2</v>
      </c>
    </row>
    <row r="11" spans="1:15" x14ac:dyDescent="0.25">
      <c r="A11" s="24">
        <v>10</v>
      </c>
      <c r="C11">
        <v>0.1</v>
      </c>
      <c r="D11">
        <v>1</v>
      </c>
      <c r="E11">
        <v>1.5</v>
      </c>
    </row>
    <row r="12" spans="1:15" x14ac:dyDescent="0.25">
      <c r="A12" s="24">
        <v>11</v>
      </c>
      <c r="D12">
        <v>0</v>
      </c>
      <c r="E12">
        <v>0.5</v>
      </c>
      <c r="F12">
        <v>0.5</v>
      </c>
      <c r="G12">
        <v>0.5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</row>
    <row r="13" spans="1:15" x14ac:dyDescent="0.25">
      <c r="A13" s="24">
        <v>12</v>
      </c>
      <c r="C13">
        <v>0</v>
      </c>
      <c r="D13">
        <v>0</v>
      </c>
      <c r="E13">
        <v>1</v>
      </c>
      <c r="F13">
        <v>2</v>
      </c>
      <c r="G13">
        <v>3</v>
      </c>
    </row>
    <row r="14" spans="1:15" x14ac:dyDescent="0.25">
      <c r="A14" s="24">
        <v>13</v>
      </c>
      <c r="C14">
        <v>0</v>
      </c>
      <c r="D14">
        <v>0.1</v>
      </c>
      <c r="E14">
        <v>2</v>
      </c>
      <c r="F14">
        <v>2.2000000000000002</v>
      </c>
      <c r="G14">
        <v>3</v>
      </c>
      <c r="H14">
        <v>4.2</v>
      </c>
      <c r="I14">
        <v>4.3</v>
      </c>
      <c r="J14">
        <v>4.5</v>
      </c>
    </row>
    <row r="15" spans="1:15" x14ac:dyDescent="0.25">
      <c r="A15" s="24">
        <v>14</v>
      </c>
      <c r="C15">
        <v>0.5</v>
      </c>
      <c r="D15">
        <v>0.5</v>
      </c>
      <c r="E15">
        <v>0.5</v>
      </c>
      <c r="F15">
        <v>0.6</v>
      </c>
      <c r="G15">
        <v>0.8</v>
      </c>
      <c r="H15">
        <v>0.8</v>
      </c>
      <c r="I15">
        <v>1</v>
      </c>
      <c r="J15">
        <v>1</v>
      </c>
      <c r="K15">
        <v>1.3</v>
      </c>
    </row>
    <row r="16" spans="1:15" x14ac:dyDescent="0.25">
      <c r="A16" s="24">
        <v>15</v>
      </c>
      <c r="C16">
        <v>0</v>
      </c>
      <c r="D16">
        <v>0.3</v>
      </c>
      <c r="E16">
        <v>0.5</v>
      </c>
      <c r="F16">
        <v>0.8</v>
      </c>
      <c r="G16">
        <v>1</v>
      </c>
      <c r="H16">
        <v>1</v>
      </c>
      <c r="I16">
        <v>1.3</v>
      </c>
    </row>
    <row r="17" spans="1:8" x14ac:dyDescent="0.25">
      <c r="A17" s="24">
        <v>16</v>
      </c>
      <c r="C17">
        <v>1</v>
      </c>
      <c r="D17">
        <v>1.2</v>
      </c>
      <c r="E17">
        <v>1.5</v>
      </c>
      <c r="F17">
        <v>2.5</v>
      </c>
      <c r="G17">
        <v>2.5</v>
      </c>
      <c r="H17">
        <v>4</v>
      </c>
    </row>
    <row r="18" spans="1:8" x14ac:dyDescent="0.25">
      <c r="A18" s="24">
        <v>17</v>
      </c>
      <c r="C18">
        <v>1.5</v>
      </c>
      <c r="D18">
        <v>4</v>
      </c>
    </row>
    <row r="19" spans="1:8" x14ac:dyDescent="0.25">
      <c r="A19" s="24">
        <v>18</v>
      </c>
      <c r="C19">
        <v>2</v>
      </c>
      <c r="D19">
        <v>3.5</v>
      </c>
      <c r="E19">
        <v>2.5</v>
      </c>
      <c r="F19">
        <v>4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42"/>
  <sheetViews>
    <sheetView topLeftCell="A31" zoomScale="95" zoomScaleNormal="95" workbookViewId="0">
      <selection activeCell="G1" sqref="G1:J1048576"/>
    </sheetView>
  </sheetViews>
  <sheetFormatPr defaultColWidth="11.5703125" defaultRowHeight="13.9" customHeight="1" x14ac:dyDescent="0.25"/>
  <cols>
    <col min="1" max="1" width="9.42578125" customWidth="1"/>
    <col min="2" max="2" width="12.85546875" customWidth="1"/>
    <col min="5" max="5" width="12.7109375" customWidth="1"/>
    <col min="6" max="6" width="13.5703125" customWidth="1"/>
    <col min="7" max="7" width="11.5703125" style="1"/>
    <col min="8" max="8" width="8.85546875" style="1" customWidth="1"/>
    <col min="9" max="9" width="10.85546875" style="1" customWidth="1"/>
    <col min="10" max="10" width="8.85546875" style="1" customWidth="1"/>
  </cols>
  <sheetData>
    <row r="1" spans="1:10" x14ac:dyDescent="0.25">
      <c r="A1" t="s">
        <v>43</v>
      </c>
      <c r="B1" t="s">
        <v>1</v>
      </c>
      <c r="C1" t="s">
        <v>44</v>
      </c>
      <c r="D1" t="s">
        <v>45</v>
      </c>
      <c r="E1" t="s">
        <v>46</v>
      </c>
      <c r="F1" t="s">
        <v>47</v>
      </c>
      <c r="G1" s="2" t="s">
        <v>4</v>
      </c>
      <c r="H1" s="2" t="s">
        <v>5</v>
      </c>
      <c r="I1" s="2" t="s">
        <v>6</v>
      </c>
      <c r="J1" s="2" t="s">
        <v>10</v>
      </c>
    </row>
    <row r="2" spans="1:10" x14ac:dyDescent="0.25">
      <c r="A2" s="3">
        <v>1</v>
      </c>
      <c r="B2" s="3" t="s">
        <v>48</v>
      </c>
      <c r="C2" s="3">
        <v>94.176209999999998</v>
      </c>
      <c r="D2" s="3">
        <v>0</v>
      </c>
      <c r="E2" s="3">
        <v>0</v>
      </c>
      <c r="F2" s="3">
        <v>0</v>
      </c>
      <c r="G2" s="3">
        <v>3</v>
      </c>
      <c r="H2" s="3">
        <v>2.5</v>
      </c>
      <c r="I2" s="3">
        <v>-0.5</v>
      </c>
      <c r="J2" s="3">
        <v>0.34992710611188299</v>
      </c>
    </row>
    <row r="3" spans="1:10" x14ac:dyDescent="0.25">
      <c r="A3" s="3">
        <v>1</v>
      </c>
      <c r="B3" s="3" t="s">
        <v>49</v>
      </c>
      <c r="C3" s="3">
        <v>91.916589999999999</v>
      </c>
      <c r="D3" s="3">
        <v>0</v>
      </c>
      <c r="E3" s="3">
        <v>0</v>
      </c>
      <c r="F3" s="3">
        <v>0.38277850000000002</v>
      </c>
      <c r="G3" s="3">
        <v>3</v>
      </c>
      <c r="H3" s="3">
        <v>2</v>
      </c>
      <c r="I3" s="3">
        <v>-1</v>
      </c>
      <c r="J3" s="3">
        <v>-0.52489065916782396</v>
      </c>
    </row>
    <row r="4" spans="1:10" x14ac:dyDescent="0.25">
      <c r="A4" s="3">
        <v>1</v>
      </c>
      <c r="B4" s="3" t="s">
        <v>50</v>
      </c>
      <c r="C4" s="3">
        <v>88.957080000000005</v>
      </c>
      <c r="D4" s="3">
        <v>30.00001</v>
      </c>
      <c r="E4" s="3">
        <v>30.00001</v>
      </c>
      <c r="F4" s="3">
        <v>0</v>
      </c>
      <c r="G4" s="3">
        <v>3</v>
      </c>
      <c r="H4" s="3">
        <v>3</v>
      </c>
      <c r="I4" s="3">
        <v>0</v>
      </c>
      <c r="J4" s="3">
        <v>1.2247448713915901</v>
      </c>
    </row>
    <row r="5" spans="1:10" x14ac:dyDescent="0.25">
      <c r="A5" s="3">
        <v>1</v>
      </c>
      <c r="B5" s="3" t="s">
        <v>51</v>
      </c>
      <c r="C5" s="3">
        <v>91.816599999999994</v>
      </c>
      <c r="D5" s="3">
        <v>137.78579999999999</v>
      </c>
      <c r="E5" s="3">
        <v>137.78579999999999</v>
      </c>
      <c r="F5" s="3">
        <v>0</v>
      </c>
      <c r="G5" s="3">
        <v>3</v>
      </c>
      <c r="H5" s="3">
        <v>1.7</v>
      </c>
      <c r="I5" s="3">
        <v>-1.3</v>
      </c>
      <c r="J5" s="3">
        <v>-1.0497813183356499</v>
      </c>
    </row>
    <row r="6" spans="1:10" x14ac:dyDescent="0.25">
      <c r="A6">
        <v>2</v>
      </c>
      <c r="B6" t="s">
        <v>48</v>
      </c>
      <c r="C6">
        <v>90.596810000000005</v>
      </c>
      <c r="D6">
        <v>0</v>
      </c>
      <c r="E6">
        <v>0</v>
      </c>
      <c r="F6">
        <v>0</v>
      </c>
      <c r="G6" s="2">
        <v>4</v>
      </c>
      <c r="H6" s="2">
        <v>2</v>
      </c>
      <c r="I6" s="2">
        <v>-2</v>
      </c>
      <c r="J6" s="2">
        <v>-0.5</v>
      </c>
    </row>
    <row r="7" spans="1:10" x14ac:dyDescent="0.25">
      <c r="A7">
        <v>2</v>
      </c>
      <c r="B7" t="s">
        <v>49</v>
      </c>
      <c r="C7">
        <v>90.536820000000006</v>
      </c>
      <c r="D7">
        <v>0</v>
      </c>
      <c r="E7">
        <v>0</v>
      </c>
      <c r="F7">
        <v>0.59827109999999994</v>
      </c>
      <c r="G7" s="2">
        <v>4</v>
      </c>
      <c r="H7" s="2">
        <v>3</v>
      </c>
      <c r="I7" s="2">
        <v>-1</v>
      </c>
      <c r="J7" s="2">
        <v>1.5</v>
      </c>
    </row>
    <row r="8" spans="1:10" x14ac:dyDescent="0.25">
      <c r="A8">
        <v>2</v>
      </c>
      <c r="B8" t="s">
        <v>50</v>
      </c>
      <c r="C8">
        <v>90.656800000000004</v>
      </c>
      <c r="D8">
        <v>30.00001</v>
      </c>
      <c r="E8">
        <v>30.00001</v>
      </c>
      <c r="F8">
        <v>0</v>
      </c>
      <c r="G8" s="2">
        <v>4</v>
      </c>
      <c r="H8" s="2">
        <v>2</v>
      </c>
      <c r="I8" s="2">
        <v>-2</v>
      </c>
      <c r="J8" s="2">
        <v>-0.5</v>
      </c>
    </row>
    <row r="9" spans="1:10" x14ac:dyDescent="0.25">
      <c r="A9">
        <v>2</v>
      </c>
      <c r="B9" t="s">
        <v>51</v>
      </c>
      <c r="C9">
        <v>91.036739999999995</v>
      </c>
      <c r="D9">
        <v>30.00001</v>
      </c>
      <c r="E9">
        <v>30.000019999999999</v>
      </c>
      <c r="F9">
        <v>0.64472969999999996</v>
      </c>
      <c r="G9" s="29">
        <v>4</v>
      </c>
      <c r="H9" s="29">
        <v>2</v>
      </c>
      <c r="I9" s="29">
        <v>-2</v>
      </c>
      <c r="J9" s="29">
        <v>-0.5</v>
      </c>
    </row>
    <row r="10" spans="1:10" x14ac:dyDescent="0.25">
      <c r="A10" s="3">
        <v>3</v>
      </c>
      <c r="B10" s="3" t="s">
        <v>48</v>
      </c>
      <c r="C10" s="3">
        <v>90.476830000000007</v>
      </c>
      <c r="D10" s="3">
        <v>0</v>
      </c>
      <c r="E10" s="3">
        <v>0</v>
      </c>
      <c r="F10" s="3">
        <v>0</v>
      </c>
      <c r="G10" s="3">
        <v>0.8</v>
      </c>
      <c r="H10" s="3">
        <v>5</v>
      </c>
      <c r="I10" s="3">
        <v>4.2</v>
      </c>
      <c r="J10" s="3">
        <v>1.4433756729740601</v>
      </c>
    </row>
    <row r="11" spans="1:10" x14ac:dyDescent="0.25">
      <c r="A11" s="3">
        <v>3</v>
      </c>
      <c r="B11" s="3" t="s">
        <v>49</v>
      </c>
      <c r="C11" s="3">
        <v>91.116720000000001</v>
      </c>
      <c r="D11" s="3">
        <v>0</v>
      </c>
      <c r="E11" s="3">
        <v>0</v>
      </c>
      <c r="F11" s="3">
        <v>0</v>
      </c>
      <c r="G11" s="3">
        <v>0.8</v>
      </c>
      <c r="H11" s="3">
        <v>2</v>
      </c>
      <c r="I11" s="3">
        <v>1.2</v>
      </c>
      <c r="J11" s="3">
        <v>-0.28867513459481298</v>
      </c>
    </row>
    <row r="12" spans="1:10" x14ac:dyDescent="0.25">
      <c r="A12" s="3">
        <v>3</v>
      </c>
      <c r="B12" s="3" t="s">
        <v>50</v>
      </c>
      <c r="C12" s="3">
        <v>90.776780000000002</v>
      </c>
      <c r="D12" s="3">
        <v>33.129719999999999</v>
      </c>
      <c r="E12" s="3">
        <v>82.151439999999994</v>
      </c>
      <c r="F12" s="3">
        <v>0</v>
      </c>
      <c r="G12" s="3">
        <v>0.8</v>
      </c>
      <c r="H12" s="3">
        <v>1</v>
      </c>
      <c r="I12" s="3">
        <v>0.2</v>
      </c>
      <c r="J12" s="3">
        <v>-0.86602540378443904</v>
      </c>
    </row>
    <row r="13" spans="1:10" x14ac:dyDescent="0.25">
      <c r="A13" s="3">
        <v>3</v>
      </c>
      <c r="B13" s="3" t="s">
        <v>51</v>
      </c>
      <c r="C13" s="3">
        <v>91.156720000000007</v>
      </c>
      <c r="D13" s="3">
        <v>122.81359999999999</v>
      </c>
      <c r="E13" s="3">
        <v>122.836</v>
      </c>
      <c r="F13" s="3">
        <v>0.80312450000000002</v>
      </c>
      <c r="G13" s="3">
        <v>0.8</v>
      </c>
      <c r="H13" s="3">
        <v>2</v>
      </c>
      <c r="I13" s="3">
        <v>1.2</v>
      </c>
      <c r="J13" s="3">
        <v>-0.28867513459481298</v>
      </c>
    </row>
    <row r="14" spans="1:10" x14ac:dyDescent="0.25">
      <c r="A14" s="30">
        <v>6</v>
      </c>
      <c r="B14" s="30" t="s">
        <v>48</v>
      </c>
      <c r="C14" s="30">
        <v>90.796779999999998</v>
      </c>
      <c r="D14" s="30">
        <v>0</v>
      </c>
      <c r="E14" s="30">
        <v>0</v>
      </c>
      <c r="F14" s="30">
        <v>0</v>
      </c>
      <c r="G14" s="2">
        <v>2.5</v>
      </c>
      <c r="H14" s="2">
        <v>4</v>
      </c>
      <c r="I14" s="2">
        <v>1.5</v>
      </c>
      <c r="J14" s="2">
        <v>1.3228756555323</v>
      </c>
    </row>
    <row r="15" spans="1:10" x14ac:dyDescent="0.25">
      <c r="A15">
        <v>6</v>
      </c>
      <c r="B15" t="s">
        <v>49</v>
      </c>
      <c r="C15">
        <v>90.656800000000004</v>
      </c>
      <c r="D15">
        <v>0</v>
      </c>
      <c r="E15">
        <v>0</v>
      </c>
      <c r="F15">
        <v>0</v>
      </c>
      <c r="G15" s="2">
        <v>2.5</v>
      </c>
      <c r="H15" s="2">
        <v>1</v>
      </c>
      <c r="I15" s="2">
        <v>-1.5</v>
      </c>
      <c r="J15" s="2">
        <v>-0.94491118252306805</v>
      </c>
    </row>
    <row r="16" spans="1:10" x14ac:dyDescent="0.25">
      <c r="A16">
        <v>6</v>
      </c>
      <c r="B16" t="s">
        <v>50</v>
      </c>
      <c r="C16">
        <v>90.21687</v>
      </c>
      <c r="D16">
        <v>99.344210000000004</v>
      </c>
      <c r="E16">
        <v>63.910890000000002</v>
      </c>
      <c r="F16">
        <v>0</v>
      </c>
      <c r="G16" s="2">
        <v>2.5</v>
      </c>
      <c r="H16" s="2">
        <v>2.5</v>
      </c>
      <c r="I16" s="2">
        <v>0</v>
      </c>
      <c r="J16" s="2">
        <v>0.18898223650461399</v>
      </c>
    </row>
    <row r="17" spans="1:10" x14ac:dyDescent="0.25">
      <c r="A17">
        <v>6</v>
      </c>
      <c r="B17" t="s">
        <v>51</v>
      </c>
      <c r="C17">
        <v>90.89676</v>
      </c>
      <c r="D17">
        <v>142.56200000000001</v>
      </c>
      <c r="E17">
        <v>142.6456</v>
      </c>
      <c r="F17">
        <v>0.66206640000000005</v>
      </c>
      <c r="G17" s="29">
        <v>2.5</v>
      </c>
      <c r="H17" s="29">
        <v>1.5</v>
      </c>
      <c r="I17" s="29">
        <v>-1</v>
      </c>
      <c r="J17" s="29">
        <v>-0.56694670951384096</v>
      </c>
    </row>
    <row r="18" spans="1:10" x14ac:dyDescent="0.25">
      <c r="A18" s="3">
        <v>7</v>
      </c>
      <c r="B18" s="3" t="s">
        <v>48</v>
      </c>
      <c r="C18" s="3">
        <v>93.736279999999994</v>
      </c>
      <c r="D18" s="3">
        <v>0</v>
      </c>
      <c r="E18" s="3">
        <v>0</v>
      </c>
      <c r="F18" s="3">
        <v>0</v>
      </c>
      <c r="G18" s="3">
        <v>5</v>
      </c>
      <c r="H18" s="3">
        <v>3</v>
      </c>
      <c r="I18" s="3">
        <v>-2</v>
      </c>
      <c r="J18" s="3">
        <v>6.0783067385482899E-2</v>
      </c>
    </row>
    <row r="19" spans="1:10" x14ac:dyDescent="0.25">
      <c r="A19" s="3">
        <v>7</v>
      </c>
      <c r="B19" s="3" t="s">
        <v>49</v>
      </c>
      <c r="C19" s="3">
        <v>91.536649999999995</v>
      </c>
      <c r="D19" s="3">
        <v>0</v>
      </c>
      <c r="E19" s="3">
        <v>0</v>
      </c>
      <c r="F19" s="3">
        <v>0.72637149999999995</v>
      </c>
      <c r="G19" s="3">
        <v>5</v>
      </c>
      <c r="H19" s="3">
        <v>4</v>
      </c>
      <c r="I19" s="3">
        <v>-1</v>
      </c>
      <c r="J19" s="3">
        <v>1.27644441509514</v>
      </c>
    </row>
    <row r="20" spans="1:10" x14ac:dyDescent="0.25">
      <c r="A20" s="3">
        <v>7</v>
      </c>
      <c r="B20" s="3" t="s">
        <v>50</v>
      </c>
      <c r="C20" s="3">
        <v>92.876429999999999</v>
      </c>
      <c r="D20" s="3">
        <v>30.01333</v>
      </c>
      <c r="E20" s="3">
        <v>30.01333</v>
      </c>
      <c r="F20" s="3">
        <v>0</v>
      </c>
      <c r="G20" s="3">
        <v>5</v>
      </c>
      <c r="H20" s="3">
        <v>2.8</v>
      </c>
      <c r="I20" s="3">
        <v>-2.2000000000000002</v>
      </c>
      <c r="J20" s="3">
        <v>-0.18234920215645001</v>
      </c>
    </row>
    <row r="21" spans="1:10" x14ac:dyDescent="0.25">
      <c r="A21" s="3">
        <v>7</v>
      </c>
      <c r="B21" s="3" t="s">
        <v>51</v>
      </c>
      <c r="C21" s="3">
        <v>96.655789999999996</v>
      </c>
      <c r="D21" s="3">
        <v>86.67107</v>
      </c>
      <c r="E21" s="3">
        <v>103.20180000000001</v>
      </c>
      <c r="F21" s="3">
        <v>1</v>
      </c>
      <c r="G21" s="3">
        <v>5</v>
      </c>
      <c r="H21" s="3">
        <v>2</v>
      </c>
      <c r="I21" s="3">
        <v>-3</v>
      </c>
      <c r="J21" s="3">
        <v>-1.1548782803241799</v>
      </c>
    </row>
    <row r="22" spans="1:10" x14ac:dyDescent="0.25">
      <c r="A22">
        <v>8</v>
      </c>
      <c r="B22" t="s">
        <v>48</v>
      </c>
      <c r="C22">
        <v>92.156549999999996</v>
      </c>
      <c r="D22">
        <v>0</v>
      </c>
      <c r="E22">
        <v>0</v>
      </c>
      <c r="F22">
        <v>0</v>
      </c>
      <c r="G22" s="2">
        <v>6</v>
      </c>
      <c r="H22" s="2">
        <v>3</v>
      </c>
      <c r="I22" s="2">
        <v>-3</v>
      </c>
      <c r="J22" s="2">
        <v>-0.38729833462074198</v>
      </c>
    </row>
    <row r="23" spans="1:10" x14ac:dyDescent="0.25">
      <c r="A23">
        <v>8</v>
      </c>
      <c r="B23" t="s">
        <v>49</v>
      </c>
      <c r="C23">
        <v>92.016570000000002</v>
      </c>
      <c r="D23">
        <v>0</v>
      </c>
      <c r="E23">
        <v>0</v>
      </c>
      <c r="F23">
        <v>0</v>
      </c>
      <c r="G23" s="2">
        <v>6</v>
      </c>
      <c r="H23" s="2">
        <v>5</v>
      </c>
      <c r="I23" s="2">
        <v>-1</v>
      </c>
      <c r="J23" s="2">
        <v>1.16189500386223</v>
      </c>
    </row>
    <row r="24" spans="1:10" x14ac:dyDescent="0.25">
      <c r="A24">
        <v>8</v>
      </c>
      <c r="B24" t="s">
        <v>50</v>
      </c>
      <c r="C24">
        <v>102.25490000000001</v>
      </c>
      <c r="D24">
        <v>30.000039999999998</v>
      </c>
      <c r="E24">
        <v>75.00009</v>
      </c>
      <c r="F24">
        <v>0</v>
      </c>
      <c r="G24" s="2">
        <v>6</v>
      </c>
      <c r="H24" s="2">
        <v>4</v>
      </c>
      <c r="I24" s="2">
        <v>-2</v>
      </c>
      <c r="J24" s="2">
        <v>0.38729833462074198</v>
      </c>
    </row>
    <row r="25" spans="1:10" x14ac:dyDescent="0.25">
      <c r="A25">
        <v>8</v>
      </c>
      <c r="B25" t="s">
        <v>51</v>
      </c>
      <c r="C25">
        <v>94.856089999999995</v>
      </c>
      <c r="D25">
        <v>70.161680000000004</v>
      </c>
      <c r="E25">
        <v>55.683109999999999</v>
      </c>
      <c r="F25">
        <v>1</v>
      </c>
      <c r="G25" s="2">
        <v>6</v>
      </c>
      <c r="H25" s="2">
        <v>2</v>
      </c>
      <c r="I25" s="2">
        <v>-4</v>
      </c>
      <c r="J25" s="2">
        <v>-1.16189500386223</v>
      </c>
    </row>
    <row r="26" spans="1:10" x14ac:dyDescent="0.25">
      <c r="A26" s="3">
        <v>9</v>
      </c>
      <c r="B26" s="3" t="s">
        <v>48</v>
      </c>
      <c r="C26" s="3">
        <v>95.535979999999995</v>
      </c>
      <c r="D26" s="3">
        <v>0</v>
      </c>
      <c r="E26" s="3">
        <v>0</v>
      </c>
      <c r="F26" s="3">
        <v>0</v>
      </c>
      <c r="G26" s="3">
        <v>1.2</v>
      </c>
      <c r="H26" s="3">
        <v>2.5</v>
      </c>
      <c r="I26" s="3">
        <v>1.3</v>
      </c>
      <c r="J26" s="3">
        <v>0.86602540378443904</v>
      </c>
    </row>
    <row r="27" spans="1:10" x14ac:dyDescent="0.25">
      <c r="A27" s="3">
        <v>9</v>
      </c>
      <c r="B27" s="3" t="s">
        <v>49</v>
      </c>
      <c r="C27" s="3">
        <v>91.336690000000004</v>
      </c>
      <c r="D27" s="3">
        <v>0</v>
      </c>
      <c r="E27" s="3">
        <v>0</v>
      </c>
      <c r="F27" s="3">
        <v>0.52567750000000002</v>
      </c>
      <c r="G27" s="3">
        <v>1.2</v>
      </c>
      <c r="H27" s="3">
        <v>2.5</v>
      </c>
      <c r="I27" s="3">
        <v>1.3</v>
      </c>
      <c r="J27" s="3">
        <v>0.86602540378443904</v>
      </c>
    </row>
    <row r="28" spans="1:10" x14ac:dyDescent="0.25">
      <c r="A28" s="3">
        <v>9</v>
      </c>
      <c r="B28" s="3" t="s">
        <v>50</v>
      </c>
      <c r="C28" s="3">
        <v>91.076729999999998</v>
      </c>
      <c r="D28" s="3">
        <v>97.484899999999996</v>
      </c>
      <c r="E28" s="3">
        <v>38.994109999999999</v>
      </c>
      <c r="F28" s="3">
        <v>0</v>
      </c>
      <c r="G28" s="3">
        <v>1.2</v>
      </c>
      <c r="H28" s="3">
        <v>1</v>
      </c>
      <c r="I28" s="3">
        <v>-0.2</v>
      </c>
      <c r="J28" s="3">
        <v>-0.86602540378443904</v>
      </c>
    </row>
    <row r="29" spans="1:10" x14ac:dyDescent="0.25">
      <c r="A29" s="3">
        <v>9</v>
      </c>
      <c r="B29" s="3" t="s">
        <v>51</v>
      </c>
      <c r="C29" s="3">
        <v>90.836770000000001</v>
      </c>
      <c r="D29" s="3">
        <v>91.808909999999997</v>
      </c>
      <c r="E29" s="3">
        <v>57.721899999999998</v>
      </c>
      <c r="F29" s="3">
        <v>0.36028640000000001</v>
      </c>
      <c r="G29" s="3">
        <v>1.2</v>
      </c>
      <c r="H29" s="3">
        <v>1</v>
      </c>
      <c r="I29" s="3">
        <v>-0.2</v>
      </c>
      <c r="J29" s="3">
        <v>-0.86602540378443904</v>
      </c>
    </row>
    <row r="30" spans="1:10" x14ac:dyDescent="0.25">
      <c r="A30">
        <v>10</v>
      </c>
      <c r="B30" t="s">
        <v>48</v>
      </c>
      <c r="C30">
        <v>90.996740000000003</v>
      </c>
      <c r="D30">
        <v>0</v>
      </c>
      <c r="E30">
        <v>0</v>
      </c>
      <c r="F30">
        <v>0</v>
      </c>
      <c r="G30" s="2">
        <v>1.5</v>
      </c>
      <c r="H30" s="2">
        <v>1</v>
      </c>
      <c r="I30" s="2">
        <v>-0.5</v>
      </c>
      <c r="J30" s="2">
        <v>0.14638501094228001</v>
      </c>
    </row>
    <row r="31" spans="1:10" x14ac:dyDescent="0.25">
      <c r="A31">
        <v>10</v>
      </c>
      <c r="B31" t="s">
        <v>49</v>
      </c>
      <c r="C31">
        <v>91.136719999999997</v>
      </c>
      <c r="D31">
        <v>0</v>
      </c>
      <c r="E31">
        <v>0</v>
      </c>
      <c r="F31">
        <v>0.71229370000000003</v>
      </c>
      <c r="G31" s="2">
        <v>1.5</v>
      </c>
      <c r="H31" s="2">
        <v>0.5</v>
      </c>
      <c r="I31" s="2">
        <v>-1</v>
      </c>
      <c r="J31" s="2">
        <v>-1.0246950765959599</v>
      </c>
    </row>
    <row r="32" spans="1:10" x14ac:dyDescent="0.25">
      <c r="A32">
        <v>10</v>
      </c>
      <c r="B32" t="s">
        <v>50</v>
      </c>
      <c r="C32">
        <v>90.496830000000003</v>
      </c>
      <c r="D32">
        <v>36.798679999999997</v>
      </c>
      <c r="E32">
        <v>74.342879999999994</v>
      </c>
      <c r="F32">
        <v>0</v>
      </c>
      <c r="G32" s="2">
        <v>1.5</v>
      </c>
      <c r="H32" s="2">
        <v>0.75</v>
      </c>
      <c r="I32" s="2">
        <v>-0.75</v>
      </c>
      <c r="J32" s="2">
        <v>-0.43915503282683999</v>
      </c>
    </row>
    <row r="33" spans="1:10" x14ac:dyDescent="0.25">
      <c r="A33">
        <v>10</v>
      </c>
      <c r="B33" t="s">
        <v>51</v>
      </c>
      <c r="C33">
        <v>91.156720000000007</v>
      </c>
      <c r="D33">
        <v>30.00001</v>
      </c>
      <c r="E33">
        <v>30.00001</v>
      </c>
      <c r="F33">
        <v>0</v>
      </c>
      <c r="G33" s="2">
        <v>1.5</v>
      </c>
      <c r="H33" s="2">
        <v>1.5</v>
      </c>
      <c r="I33" s="2">
        <v>0</v>
      </c>
      <c r="J33" s="2">
        <v>1.3174650984805201</v>
      </c>
    </row>
    <row r="34" spans="1:10" x14ac:dyDescent="0.25">
      <c r="A34" s="3">
        <v>11</v>
      </c>
      <c r="B34" s="3" t="s">
        <v>48</v>
      </c>
      <c r="C34" s="3">
        <v>90.89676</v>
      </c>
      <c r="D34" s="3">
        <v>0</v>
      </c>
      <c r="E34" s="3">
        <v>0</v>
      </c>
      <c r="F34" s="3">
        <v>0</v>
      </c>
      <c r="G34" s="3">
        <v>1</v>
      </c>
      <c r="H34" s="3">
        <v>0.5</v>
      </c>
      <c r="I34" s="3">
        <v>-0.5</v>
      </c>
      <c r="J34" s="3"/>
    </row>
    <row r="35" spans="1:10" x14ac:dyDescent="0.25">
      <c r="A35" s="3">
        <v>11</v>
      </c>
      <c r="B35" s="3" t="s">
        <v>49</v>
      </c>
      <c r="C35" s="3">
        <v>91.116720000000001</v>
      </c>
      <c r="D35" s="3">
        <v>0</v>
      </c>
      <c r="E35" s="3">
        <v>0</v>
      </c>
      <c r="F35" s="3">
        <v>0.55851980000000001</v>
      </c>
      <c r="G35" s="3">
        <v>1</v>
      </c>
      <c r="H35" s="3">
        <v>0.5</v>
      </c>
      <c r="I35" s="3">
        <v>-0.5</v>
      </c>
      <c r="J35" s="3"/>
    </row>
    <row r="36" spans="1:10" x14ac:dyDescent="0.25">
      <c r="A36" s="3">
        <v>11</v>
      </c>
      <c r="B36" s="3" t="s">
        <v>50</v>
      </c>
      <c r="C36" s="3">
        <v>90.636799999999994</v>
      </c>
      <c r="D36" s="3">
        <v>146.74039999999999</v>
      </c>
      <c r="E36" s="3">
        <v>146.66390000000001</v>
      </c>
      <c r="F36" s="3">
        <v>0</v>
      </c>
      <c r="G36" s="3">
        <v>1</v>
      </c>
      <c r="H36" s="3">
        <v>0.5</v>
      </c>
      <c r="I36" s="3">
        <v>-0.5</v>
      </c>
      <c r="J36" s="3"/>
    </row>
    <row r="37" spans="1:10" x14ac:dyDescent="0.25">
      <c r="A37" s="3">
        <v>11</v>
      </c>
      <c r="B37" s="3" t="s">
        <v>51</v>
      </c>
      <c r="C37" s="3">
        <v>91.356679999999997</v>
      </c>
      <c r="D37" s="3">
        <v>66.054749999999999</v>
      </c>
      <c r="E37" s="3">
        <v>103.1328</v>
      </c>
      <c r="F37" s="3">
        <v>0</v>
      </c>
      <c r="G37" s="3">
        <v>1</v>
      </c>
      <c r="H37" s="3">
        <v>0.5</v>
      </c>
      <c r="I37" s="3">
        <v>-0.5</v>
      </c>
      <c r="J37" s="3"/>
    </row>
    <row r="38" spans="1:10" x14ac:dyDescent="0.25">
      <c r="A38">
        <v>12</v>
      </c>
      <c r="B38" t="s">
        <v>48</v>
      </c>
      <c r="C38">
        <v>118.0361</v>
      </c>
      <c r="D38">
        <v>0</v>
      </c>
      <c r="E38">
        <v>0</v>
      </c>
      <c r="F38">
        <v>0</v>
      </c>
      <c r="G38" s="2">
        <v>5</v>
      </c>
      <c r="H38" s="2">
        <v>4</v>
      </c>
      <c r="I38" s="2">
        <v>-1</v>
      </c>
      <c r="J38" s="2">
        <v>1.0246950765959599</v>
      </c>
    </row>
    <row r="39" spans="1:10" x14ac:dyDescent="0.25">
      <c r="A39">
        <v>12</v>
      </c>
      <c r="B39" t="s">
        <v>49</v>
      </c>
      <c r="C39">
        <v>98.127350000000007</v>
      </c>
      <c r="D39">
        <v>0</v>
      </c>
      <c r="E39">
        <v>0</v>
      </c>
      <c r="F39">
        <v>0.6349167</v>
      </c>
      <c r="G39" s="2">
        <v>5</v>
      </c>
      <c r="H39" s="2">
        <v>3</v>
      </c>
      <c r="I39" s="2">
        <v>-2</v>
      </c>
      <c r="J39" s="2">
        <v>-0.14638501094228001</v>
      </c>
    </row>
    <row r="40" spans="1:10" x14ac:dyDescent="0.25">
      <c r="A40">
        <v>12</v>
      </c>
      <c r="B40" t="s">
        <v>50</v>
      </c>
      <c r="C40">
        <v>89.578479999999999</v>
      </c>
      <c r="D40">
        <v>57.863770000000002</v>
      </c>
      <c r="E40">
        <v>57.854610000000001</v>
      </c>
      <c r="F40">
        <v>0</v>
      </c>
      <c r="G40" s="2">
        <v>5</v>
      </c>
      <c r="H40" s="2">
        <v>2</v>
      </c>
      <c r="I40" s="2">
        <v>-3</v>
      </c>
      <c r="J40" s="2">
        <v>-1.3174650984805201</v>
      </c>
    </row>
    <row r="41" spans="1:10" x14ac:dyDescent="0.25">
      <c r="A41">
        <v>12</v>
      </c>
      <c r="B41" t="s">
        <v>51</v>
      </c>
      <c r="C41">
        <v>90.985200000000006</v>
      </c>
      <c r="D41">
        <v>30.00001</v>
      </c>
      <c r="E41">
        <v>30.00001</v>
      </c>
      <c r="F41">
        <v>0</v>
      </c>
      <c r="G41" s="2">
        <v>5</v>
      </c>
      <c r="H41" s="2">
        <v>3.5</v>
      </c>
      <c r="I41" s="2">
        <v>-1.5</v>
      </c>
      <c r="J41" s="2">
        <v>0.43915503282683999</v>
      </c>
    </row>
    <row r="42" spans="1:10" x14ac:dyDescent="0.25">
      <c r="A42" s="3">
        <v>13</v>
      </c>
      <c r="B42" s="3" t="s">
        <v>48</v>
      </c>
      <c r="C42" s="3">
        <v>92.003140000000002</v>
      </c>
      <c r="D42" s="3">
        <v>0</v>
      </c>
      <c r="E42" s="3">
        <v>0</v>
      </c>
      <c r="F42" s="3">
        <v>0</v>
      </c>
      <c r="G42" s="3">
        <v>4.5</v>
      </c>
      <c r="H42" s="3">
        <v>3</v>
      </c>
      <c r="I42" s="3">
        <v>-1.5</v>
      </c>
      <c r="J42" s="3">
        <v>0.5</v>
      </c>
    </row>
    <row r="43" spans="1:10" x14ac:dyDescent="0.25">
      <c r="A43" s="3">
        <v>13</v>
      </c>
      <c r="B43" s="3" t="s">
        <v>49</v>
      </c>
      <c r="C43" s="3">
        <v>91.041690000000003</v>
      </c>
      <c r="D43" s="3">
        <v>0</v>
      </c>
      <c r="E43" s="3">
        <v>0</v>
      </c>
      <c r="F43" s="3">
        <v>0.61404289999999995</v>
      </c>
      <c r="G43" s="3">
        <v>4.5</v>
      </c>
      <c r="H43" s="3">
        <v>3</v>
      </c>
      <c r="I43" s="3">
        <v>-1.5</v>
      </c>
      <c r="J43" s="3">
        <v>0.5</v>
      </c>
    </row>
    <row r="44" spans="1:10" x14ac:dyDescent="0.25">
      <c r="A44" s="3">
        <v>13</v>
      </c>
      <c r="B44" s="3" t="s">
        <v>50</v>
      </c>
      <c r="C44" s="3">
        <v>106.39870000000001</v>
      </c>
      <c r="D44" s="3">
        <v>64.507339999999999</v>
      </c>
      <c r="E44" s="3">
        <v>31.596990000000002</v>
      </c>
      <c r="F44" s="3">
        <v>0</v>
      </c>
      <c r="G44" s="3">
        <v>4.5</v>
      </c>
      <c r="H44" s="3">
        <v>2</v>
      </c>
      <c r="I44" s="3">
        <v>-2.5</v>
      </c>
      <c r="J44" s="3">
        <v>-1.5</v>
      </c>
    </row>
    <row r="45" spans="1:10" x14ac:dyDescent="0.25">
      <c r="A45" s="3">
        <v>13</v>
      </c>
      <c r="B45" s="3" t="s">
        <v>51</v>
      </c>
      <c r="C45" s="3">
        <v>95.397450000000006</v>
      </c>
      <c r="D45" s="3">
        <v>30</v>
      </c>
      <c r="E45" s="3">
        <v>30</v>
      </c>
      <c r="F45" s="3">
        <v>0.95442159999999998</v>
      </c>
      <c r="G45" s="3">
        <v>4.5</v>
      </c>
      <c r="H45" s="3">
        <v>3</v>
      </c>
      <c r="I45" s="3">
        <v>-1.5</v>
      </c>
      <c r="J45" s="3">
        <v>0.5</v>
      </c>
    </row>
    <row r="46" spans="1:10" x14ac:dyDescent="0.25">
      <c r="A46">
        <v>14</v>
      </c>
      <c r="B46" t="s">
        <v>48</v>
      </c>
      <c r="C46">
        <v>91.350669999999994</v>
      </c>
      <c r="D46">
        <v>0</v>
      </c>
      <c r="E46">
        <v>0</v>
      </c>
      <c r="F46">
        <v>0</v>
      </c>
      <c r="G46" s="2">
        <v>1.3</v>
      </c>
      <c r="H46" s="2">
        <v>1.3</v>
      </c>
      <c r="I46" s="2">
        <v>0</v>
      </c>
      <c r="J46" s="2">
        <v>1.16189500386223</v>
      </c>
    </row>
    <row r="47" spans="1:10" x14ac:dyDescent="0.25">
      <c r="A47">
        <v>14</v>
      </c>
      <c r="B47" t="s">
        <v>49</v>
      </c>
      <c r="C47">
        <v>91.475489999999994</v>
      </c>
      <c r="D47">
        <v>0</v>
      </c>
      <c r="E47">
        <v>0</v>
      </c>
      <c r="F47">
        <v>0.26732060000000002</v>
      </c>
      <c r="G47" s="2">
        <v>1.3</v>
      </c>
      <c r="H47" s="2">
        <v>1</v>
      </c>
      <c r="I47" s="2">
        <v>-0.3</v>
      </c>
      <c r="J47" s="2">
        <v>0.38729833462074198</v>
      </c>
    </row>
    <row r="48" spans="1:10" x14ac:dyDescent="0.25">
      <c r="A48">
        <v>14</v>
      </c>
      <c r="B48" t="s">
        <v>50</v>
      </c>
      <c r="C48">
        <v>97.740939999999995</v>
      </c>
      <c r="D48">
        <v>61.295490000000001</v>
      </c>
      <c r="E48">
        <v>104.8665</v>
      </c>
      <c r="F48">
        <v>0</v>
      </c>
      <c r="G48" s="2">
        <v>1.3</v>
      </c>
      <c r="H48" s="2">
        <v>0.7</v>
      </c>
      <c r="I48" s="2">
        <v>-0.6</v>
      </c>
      <c r="J48" s="2">
        <v>-0.38729833462074198</v>
      </c>
    </row>
    <row r="49" spans="1:10" x14ac:dyDescent="0.25">
      <c r="A49">
        <v>14</v>
      </c>
      <c r="B49" t="s">
        <v>51</v>
      </c>
      <c r="C49">
        <v>91.528459999999995</v>
      </c>
      <c r="D49">
        <v>30</v>
      </c>
      <c r="E49">
        <v>74.999979999999994</v>
      </c>
      <c r="F49">
        <v>1</v>
      </c>
      <c r="G49" s="2">
        <v>1.3</v>
      </c>
      <c r="H49" s="2">
        <v>0.4</v>
      </c>
      <c r="I49" s="2">
        <v>-0.9</v>
      </c>
      <c r="J49" s="2">
        <v>-1.16189500386222</v>
      </c>
    </row>
    <row r="50" spans="1:10" x14ac:dyDescent="0.25">
      <c r="A50" s="3">
        <v>15</v>
      </c>
      <c r="B50" s="3" t="s">
        <v>48</v>
      </c>
      <c r="C50" s="3">
        <v>97.195700000000002</v>
      </c>
      <c r="D50" s="3">
        <v>0</v>
      </c>
      <c r="E50" s="3">
        <v>0</v>
      </c>
      <c r="F50" s="3">
        <v>0</v>
      </c>
      <c r="G50" s="3">
        <v>1.3</v>
      </c>
      <c r="H50" s="3">
        <v>0.4</v>
      </c>
      <c r="I50" s="3">
        <v>-0.9</v>
      </c>
      <c r="J50" s="3">
        <v>-1.3174650984805201</v>
      </c>
    </row>
    <row r="51" spans="1:10" x14ac:dyDescent="0.25">
      <c r="A51" s="3">
        <v>15</v>
      </c>
      <c r="B51" s="3" t="s">
        <v>49</v>
      </c>
      <c r="C51" s="3">
        <v>90.436840000000004</v>
      </c>
      <c r="D51" s="3">
        <v>0</v>
      </c>
      <c r="E51" s="3">
        <v>0</v>
      </c>
      <c r="F51" s="3">
        <v>0</v>
      </c>
      <c r="G51" s="3">
        <v>1.3</v>
      </c>
      <c r="H51" s="3">
        <v>1.2</v>
      </c>
      <c r="I51" s="3">
        <v>-0.1</v>
      </c>
      <c r="J51" s="3">
        <v>1.0246950765959599</v>
      </c>
    </row>
    <row r="52" spans="1:10" x14ac:dyDescent="0.25">
      <c r="A52" s="3">
        <v>15</v>
      </c>
      <c r="B52" s="3" t="s">
        <v>50</v>
      </c>
      <c r="C52" s="3">
        <v>91.056730000000002</v>
      </c>
      <c r="D52" s="3">
        <v>50.233330000000002</v>
      </c>
      <c r="E52" s="3">
        <v>80.063670000000002</v>
      </c>
      <c r="F52" s="3">
        <v>0</v>
      </c>
      <c r="G52" s="3">
        <v>1.3</v>
      </c>
      <c r="H52" s="3">
        <v>1</v>
      </c>
      <c r="I52" s="3">
        <v>-0.3</v>
      </c>
      <c r="J52" s="3">
        <v>0.43915503282683999</v>
      </c>
    </row>
    <row r="53" spans="1:10" x14ac:dyDescent="0.25">
      <c r="A53" s="3">
        <v>15</v>
      </c>
      <c r="B53" s="3" t="s">
        <v>51</v>
      </c>
      <c r="C53" s="3">
        <v>91.256699999999995</v>
      </c>
      <c r="D53" s="3">
        <v>57.244570000000003</v>
      </c>
      <c r="E53" s="3">
        <v>110.96639999999999</v>
      </c>
      <c r="F53" s="3">
        <v>0.81124419999999997</v>
      </c>
      <c r="G53" s="3">
        <v>1.3</v>
      </c>
      <c r="H53" s="3">
        <v>0.8</v>
      </c>
      <c r="I53" s="3">
        <v>-0.5</v>
      </c>
      <c r="J53" s="3">
        <v>-0.14638501094228001</v>
      </c>
    </row>
    <row r="54" spans="1:10" x14ac:dyDescent="0.25">
      <c r="A54">
        <v>16</v>
      </c>
      <c r="B54" t="s">
        <v>48</v>
      </c>
      <c r="C54">
        <v>91.656630000000007</v>
      </c>
      <c r="D54">
        <v>0</v>
      </c>
      <c r="E54">
        <v>0</v>
      </c>
      <c r="F54">
        <v>0</v>
      </c>
      <c r="G54" s="2">
        <v>4</v>
      </c>
      <c r="H54" s="2">
        <v>1.5</v>
      </c>
      <c r="I54" s="2">
        <v>-2.5</v>
      </c>
      <c r="J54" s="2">
        <v>0.17244037467885301</v>
      </c>
    </row>
    <row r="55" spans="1:10" x14ac:dyDescent="0.25">
      <c r="A55">
        <v>16</v>
      </c>
      <c r="B55" t="s">
        <v>49</v>
      </c>
      <c r="C55">
        <v>91.836600000000004</v>
      </c>
      <c r="D55">
        <v>0</v>
      </c>
      <c r="E55">
        <v>0</v>
      </c>
      <c r="F55">
        <v>0</v>
      </c>
      <c r="G55" s="2">
        <v>4</v>
      </c>
      <c r="H55" s="2">
        <v>2</v>
      </c>
      <c r="I55" s="2">
        <v>-2</v>
      </c>
      <c r="J55" s="2">
        <v>1.3220428725378699</v>
      </c>
    </row>
    <row r="56" spans="1:10" x14ac:dyDescent="0.25">
      <c r="A56">
        <v>16</v>
      </c>
      <c r="B56" t="s">
        <v>50</v>
      </c>
      <c r="C56">
        <v>91.656630000000007</v>
      </c>
      <c r="D56">
        <v>118.72280000000001</v>
      </c>
      <c r="E56">
        <v>119.74290000000001</v>
      </c>
      <c r="F56">
        <v>0</v>
      </c>
      <c r="G56" s="2">
        <v>4</v>
      </c>
      <c r="H56" s="2">
        <v>1.2</v>
      </c>
      <c r="I56" s="2">
        <v>-2.8</v>
      </c>
      <c r="J56" s="2">
        <v>-0.51732112403656005</v>
      </c>
    </row>
    <row r="57" spans="1:10" x14ac:dyDescent="0.25">
      <c r="A57">
        <v>16</v>
      </c>
      <c r="B57" t="s">
        <v>51</v>
      </c>
      <c r="C57">
        <v>90.89676</v>
      </c>
      <c r="D57">
        <v>30.01886</v>
      </c>
      <c r="E57">
        <v>30.01886</v>
      </c>
      <c r="F57">
        <v>1</v>
      </c>
      <c r="G57" s="2">
        <v>4</v>
      </c>
      <c r="H57" s="2">
        <v>1</v>
      </c>
      <c r="I57" s="2">
        <v>-3</v>
      </c>
      <c r="J57" s="2">
        <v>-0.97716212318016804</v>
      </c>
    </row>
    <row r="58" spans="1:10" x14ac:dyDescent="0.25">
      <c r="A58" s="3">
        <v>17</v>
      </c>
      <c r="B58" s="3" t="s">
        <v>48</v>
      </c>
      <c r="C58" s="3">
        <v>91.096729999999994</v>
      </c>
      <c r="D58" s="3">
        <v>0</v>
      </c>
      <c r="E58" s="3">
        <v>0</v>
      </c>
      <c r="F58" s="3">
        <v>0</v>
      </c>
      <c r="G58" s="3">
        <v>4</v>
      </c>
      <c r="H58" s="3">
        <v>1</v>
      </c>
      <c r="I58" s="3">
        <v>-3</v>
      </c>
      <c r="J58" s="3">
        <v>1.5</v>
      </c>
    </row>
    <row r="59" spans="1:10" x14ac:dyDescent="0.25">
      <c r="A59" s="3">
        <v>17</v>
      </c>
      <c r="B59" s="3" t="s">
        <v>49</v>
      </c>
      <c r="C59" s="3">
        <v>90.596810000000005</v>
      </c>
      <c r="D59" s="3">
        <v>0</v>
      </c>
      <c r="E59" s="3">
        <v>0</v>
      </c>
      <c r="F59" s="3">
        <v>0.56953679999999995</v>
      </c>
      <c r="G59" s="3">
        <v>4</v>
      </c>
      <c r="H59" s="3">
        <v>0</v>
      </c>
      <c r="I59" s="3">
        <v>-4</v>
      </c>
      <c r="J59" s="3">
        <v>-0.5</v>
      </c>
    </row>
    <row r="60" spans="1:10" x14ac:dyDescent="0.25">
      <c r="A60" s="3">
        <v>17</v>
      </c>
      <c r="B60" s="3" t="s">
        <v>50</v>
      </c>
      <c r="C60" s="3">
        <v>91.236699999999999</v>
      </c>
      <c r="D60" s="3">
        <v>31.490469999999998</v>
      </c>
      <c r="E60" s="3">
        <v>31.490950000000002</v>
      </c>
      <c r="F60" s="3">
        <v>0</v>
      </c>
      <c r="G60" s="3">
        <v>4</v>
      </c>
      <c r="H60" s="3">
        <v>0</v>
      </c>
      <c r="I60" s="3">
        <v>-4</v>
      </c>
      <c r="J60" s="3">
        <v>-0.5</v>
      </c>
    </row>
    <row r="61" spans="1:10" x14ac:dyDescent="0.25">
      <c r="A61" s="3">
        <v>17</v>
      </c>
      <c r="B61" s="3" t="s">
        <v>51</v>
      </c>
      <c r="C61" s="3">
        <v>90.936750000000004</v>
      </c>
      <c r="D61" s="3">
        <v>30.00001</v>
      </c>
      <c r="E61" s="3">
        <v>30.00001</v>
      </c>
      <c r="F61" s="3">
        <v>0</v>
      </c>
      <c r="G61" s="3">
        <v>4</v>
      </c>
      <c r="H61" s="3">
        <v>0</v>
      </c>
      <c r="I61" s="3">
        <v>-4</v>
      </c>
      <c r="J61" s="3">
        <v>-0.5</v>
      </c>
    </row>
    <row r="62" spans="1:10" x14ac:dyDescent="0.25">
      <c r="A62">
        <v>18</v>
      </c>
      <c r="B62" t="s">
        <v>48</v>
      </c>
      <c r="C62">
        <v>90.436840000000004</v>
      </c>
      <c r="D62">
        <v>0</v>
      </c>
      <c r="E62">
        <v>0</v>
      </c>
      <c r="F62">
        <v>0</v>
      </c>
      <c r="G62" s="2">
        <v>4</v>
      </c>
      <c r="H62" s="2">
        <v>3</v>
      </c>
      <c r="I62" s="2">
        <v>-1</v>
      </c>
      <c r="J62" s="2">
        <v>0.66033817974421805</v>
      </c>
    </row>
    <row r="63" spans="1:10" x14ac:dyDescent="0.25">
      <c r="A63">
        <v>18</v>
      </c>
      <c r="B63" t="s">
        <v>49</v>
      </c>
      <c r="C63">
        <v>90.416839999999993</v>
      </c>
      <c r="D63">
        <v>0</v>
      </c>
      <c r="E63">
        <v>0</v>
      </c>
      <c r="F63">
        <v>0</v>
      </c>
      <c r="G63" s="2">
        <v>4</v>
      </c>
      <c r="H63" s="2">
        <v>3</v>
      </c>
      <c r="I63" s="2">
        <v>-1</v>
      </c>
      <c r="J63" s="2">
        <v>0.66033817974421805</v>
      </c>
    </row>
    <row r="64" spans="1:10" x14ac:dyDescent="0.25">
      <c r="A64">
        <v>18</v>
      </c>
      <c r="B64" t="s">
        <v>50</v>
      </c>
      <c r="C64">
        <v>91.496660000000006</v>
      </c>
      <c r="D64">
        <v>30.00001</v>
      </c>
      <c r="E64">
        <v>75.000029999999995</v>
      </c>
      <c r="F64">
        <v>0</v>
      </c>
      <c r="G64" s="2">
        <v>4</v>
      </c>
      <c r="H64" s="2">
        <v>2.75</v>
      </c>
      <c r="I64" s="2">
        <v>-1.25</v>
      </c>
      <c r="J64" s="2">
        <v>0.13206763594884399</v>
      </c>
    </row>
    <row r="65" spans="1:10" x14ac:dyDescent="0.25">
      <c r="A65">
        <v>18</v>
      </c>
      <c r="B65" t="s">
        <v>51</v>
      </c>
      <c r="C65">
        <v>92.036569999999998</v>
      </c>
      <c r="D65">
        <v>30.23978</v>
      </c>
      <c r="E65">
        <v>75.599429999999998</v>
      </c>
      <c r="F65">
        <v>0</v>
      </c>
      <c r="G65" s="2">
        <v>4</v>
      </c>
      <c r="H65" s="2">
        <v>2</v>
      </c>
      <c r="I65" s="2">
        <v>-2</v>
      </c>
      <c r="J65" s="2">
        <v>-1.4527439954372801</v>
      </c>
    </row>
    <row r="66" spans="1:10" x14ac:dyDescent="0.25">
      <c r="G66"/>
      <c r="H66"/>
      <c r="I66"/>
      <c r="J66"/>
    </row>
    <row r="67" spans="1:10" x14ac:dyDescent="0.25">
      <c r="G67"/>
      <c r="H67"/>
      <c r="I67"/>
      <c r="J67"/>
    </row>
    <row r="68" spans="1:10" x14ac:dyDescent="0.25">
      <c r="G68"/>
      <c r="H68"/>
      <c r="I68"/>
      <c r="J68"/>
    </row>
    <row r="69" spans="1:10" x14ac:dyDescent="0.25">
      <c r="G69"/>
      <c r="H69"/>
      <c r="I69"/>
      <c r="J69"/>
    </row>
    <row r="70" spans="1:10" x14ac:dyDescent="0.25">
      <c r="G70"/>
      <c r="H70"/>
      <c r="I70"/>
      <c r="J70"/>
    </row>
    <row r="71" spans="1:10" x14ac:dyDescent="0.25">
      <c r="G71"/>
      <c r="H71"/>
      <c r="I71"/>
      <c r="J71"/>
    </row>
    <row r="72" spans="1:10" x14ac:dyDescent="0.25">
      <c r="G72"/>
      <c r="H72"/>
      <c r="I72"/>
      <c r="J72"/>
    </row>
    <row r="73" spans="1:10" x14ac:dyDescent="0.25">
      <c r="G73"/>
      <c r="H73"/>
      <c r="I73"/>
      <c r="J73"/>
    </row>
    <row r="74" spans="1:10" x14ac:dyDescent="0.25">
      <c r="G74" s="2"/>
      <c r="H74" s="2"/>
      <c r="I74" s="2"/>
      <c r="J74" s="2"/>
    </row>
    <row r="75" spans="1:10" x14ac:dyDescent="0.25">
      <c r="G75" s="2"/>
      <c r="H75" s="2"/>
      <c r="I75" s="2"/>
      <c r="J75" s="2"/>
    </row>
    <row r="76" spans="1:10" x14ac:dyDescent="0.25">
      <c r="G76" s="2"/>
      <c r="H76" s="2"/>
      <c r="I76" s="2"/>
      <c r="J76" s="2"/>
    </row>
    <row r="77" spans="1:10" x14ac:dyDescent="0.25">
      <c r="G77" s="2"/>
      <c r="H77" s="2"/>
      <c r="I77" s="2"/>
      <c r="J77" s="2"/>
    </row>
    <row r="78" spans="1:10" x14ac:dyDescent="0.25">
      <c r="G78" s="2"/>
      <c r="H78" s="2"/>
      <c r="I78" s="2"/>
      <c r="J78" s="2"/>
    </row>
    <row r="79" spans="1:10" x14ac:dyDescent="0.25">
      <c r="G79" s="2"/>
      <c r="H79" s="2"/>
      <c r="I79" s="2"/>
      <c r="J79" s="2"/>
    </row>
    <row r="80" spans="1:10" x14ac:dyDescent="0.25">
      <c r="G80" s="2"/>
      <c r="H80" s="2"/>
      <c r="I80" s="2"/>
      <c r="J80" s="2"/>
    </row>
    <row r="81" spans="7:10" x14ac:dyDescent="0.25">
      <c r="G81" s="2"/>
      <c r="H81" s="2"/>
      <c r="I81" s="2"/>
      <c r="J81" s="2"/>
    </row>
    <row r="82" spans="7:10" x14ac:dyDescent="0.25">
      <c r="G82" s="2"/>
      <c r="H82" s="2"/>
      <c r="I82" s="2"/>
      <c r="J82" s="2"/>
    </row>
    <row r="83" spans="7:10" x14ac:dyDescent="0.25">
      <c r="G83" s="2"/>
      <c r="H83" s="2"/>
      <c r="I83" s="2"/>
      <c r="J83" s="2"/>
    </row>
    <row r="84" spans="7:10" x14ac:dyDescent="0.25">
      <c r="G84" s="2"/>
      <c r="H84" s="2"/>
      <c r="I84" s="2"/>
      <c r="J84" s="2"/>
    </row>
    <row r="85" spans="7:10" x14ac:dyDescent="0.25">
      <c r="G85" s="2"/>
      <c r="H85" s="2"/>
      <c r="I85" s="2"/>
      <c r="J85" s="2"/>
    </row>
    <row r="86" spans="7:10" x14ac:dyDescent="0.25">
      <c r="G86" s="2"/>
      <c r="H86" s="2"/>
      <c r="I86" s="2"/>
      <c r="J86" s="2"/>
    </row>
    <row r="87" spans="7:10" x14ac:dyDescent="0.25">
      <c r="G87" s="2"/>
      <c r="H87" s="2"/>
      <c r="I87" s="2"/>
      <c r="J87" s="2"/>
    </row>
    <row r="88" spans="7:10" x14ac:dyDescent="0.25">
      <c r="G88" s="2"/>
      <c r="H88" s="2"/>
      <c r="I88" s="2"/>
      <c r="J88" s="2"/>
    </row>
    <row r="89" spans="7:10" x14ac:dyDescent="0.25">
      <c r="G89" s="2"/>
      <c r="H89" s="2"/>
      <c r="I89" s="2"/>
      <c r="J89" s="2"/>
    </row>
    <row r="90" spans="7:10" x14ac:dyDescent="0.25">
      <c r="G90" s="2"/>
      <c r="H90" s="2"/>
      <c r="I90" s="2"/>
      <c r="J90" s="2"/>
    </row>
    <row r="91" spans="7:10" x14ac:dyDescent="0.25">
      <c r="G91" s="2"/>
      <c r="H91" s="2"/>
      <c r="I91" s="2"/>
      <c r="J91" s="2"/>
    </row>
    <row r="92" spans="7:10" x14ac:dyDescent="0.25">
      <c r="G92" s="2"/>
      <c r="H92" s="2"/>
      <c r="I92" s="2"/>
      <c r="J92" s="2"/>
    </row>
    <row r="93" spans="7:10" x14ac:dyDescent="0.25">
      <c r="G93" s="2"/>
      <c r="H93" s="2"/>
      <c r="I93" s="2"/>
      <c r="J93" s="2"/>
    </row>
    <row r="94" spans="7:10" x14ac:dyDescent="0.25">
      <c r="G94" s="2"/>
      <c r="H94" s="2"/>
      <c r="I94" s="2"/>
      <c r="J94" s="2"/>
    </row>
    <row r="95" spans="7:10" x14ac:dyDescent="0.25">
      <c r="G95" s="2"/>
      <c r="H95" s="2"/>
      <c r="I95" s="2"/>
      <c r="J95" s="2"/>
    </row>
    <row r="96" spans="7:10" x14ac:dyDescent="0.25">
      <c r="G96" s="2"/>
      <c r="H96" s="2"/>
      <c r="I96" s="2"/>
      <c r="J96" s="2"/>
    </row>
    <row r="97" spans="7:10" x14ac:dyDescent="0.25">
      <c r="G97" s="2"/>
      <c r="H97" s="2"/>
      <c r="I97" s="2"/>
      <c r="J97" s="2"/>
    </row>
    <row r="98" spans="7:10" x14ac:dyDescent="0.25">
      <c r="G98" s="2"/>
      <c r="H98" s="2"/>
      <c r="I98" s="2"/>
      <c r="J98" s="2"/>
    </row>
    <row r="99" spans="7:10" x14ac:dyDescent="0.25">
      <c r="G99" s="2"/>
      <c r="H99" s="2"/>
      <c r="I99" s="2"/>
      <c r="J99" s="2"/>
    </row>
    <row r="100" spans="7:10" x14ac:dyDescent="0.25">
      <c r="G100" s="2"/>
      <c r="H100" s="2"/>
      <c r="I100" s="2"/>
      <c r="J100" s="2"/>
    </row>
    <row r="101" spans="7:10" x14ac:dyDescent="0.25">
      <c r="G101" s="2"/>
      <c r="H101" s="2"/>
      <c r="I101" s="2"/>
      <c r="J101" s="2"/>
    </row>
    <row r="102" spans="7:10" x14ac:dyDescent="0.25">
      <c r="G102" s="2"/>
      <c r="H102" s="2"/>
      <c r="I102" s="2"/>
      <c r="J102" s="2"/>
    </row>
    <row r="103" spans="7:10" x14ac:dyDescent="0.25">
      <c r="G103" s="2"/>
      <c r="H103" s="2"/>
      <c r="I103" s="2"/>
      <c r="J103" s="2"/>
    </row>
    <row r="104" spans="7:10" x14ac:dyDescent="0.25">
      <c r="G104" s="2"/>
      <c r="H104" s="2"/>
      <c r="I104" s="2"/>
      <c r="J104" s="2"/>
    </row>
    <row r="105" spans="7:10" x14ac:dyDescent="0.25">
      <c r="G105" s="2"/>
      <c r="H105" s="2"/>
      <c r="I105" s="2"/>
      <c r="J105" s="2"/>
    </row>
    <row r="106" spans="7:10" x14ac:dyDescent="0.25">
      <c r="G106" s="2"/>
      <c r="H106" s="2"/>
      <c r="I106" s="2"/>
      <c r="J106" s="2"/>
    </row>
    <row r="107" spans="7:10" x14ac:dyDescent="0.25">
      <c r="G107" s="2"/>
      <c r="H107" s="2"/>
      <c r="I107" s="2"/>
      <c r="J107" s="2"/>
    </row>
    <row r="108" spans="7:10" x14ac:dyDescent="0.25">
      <c r="G108" s="2"/>
      <c r="H108" s="2"/>
      <c r="I108" s="2"/>
      <c r="J108" s="2"/>
    </row>
    <row r="109" spans="7:10" x14ac:dyDescent="0.25">
      <c r="G109" s="2"/>
      <c r="H109" s="2"/>
      <c r="I109" s="2"/>
      <c r="J109" s="2"/>
    </row>
    <row r="110" spans="7:10" x14ac:dyDescent="0.25">
      <c r="G110" s="2"/>
      <c r="H110" s="2"/>
      <c r="I110" s="2"/>
      <c r="J110" s="2"/>
    </row>
    <row r="111" spans="7:10" x14ac:dyDescent="0.25">
      <c r="G111" s="2"/>
      <c r="H111" s="2"/>
      <c r="I111" s="2"/>
      <c r="J111" s="2"/>
    </row>
    <row r="112" spans="7:10" x14ac:dyDescent="0.25">
      <c r="G112" s="2"/>
      <c r="H112" s="2"/>
      <c r="I112" s="2"/>
      <c r="J112" s="2"/>
    </row>
    <row r="113" spans="7:10" x14ac:dyDescent="0.25">
      <c r="G113" s="2"/>
      <c r="H113" s="2"/>
      <c r="I113" s="2"/>
      <c r="J113" s="2"/>
    </row>
    <row r="114" spans="7:10" x14ac:dyDescent="0.25">
      <c r="G114" s="2"/>
      <c r="H114" s="2"/>
      <c r="I114" s="2"/>
      <c r="J114" s="2"/>
    </row>
    <row r="115" spans="7:10" x14ac:dyDescent="0.25">
      <c r="G115" s="2"/>
      <c r="H115" s="2"/>
      <c r="I115" s="2"/>
      <c r="J115" s="2"/>
    </row>
    <row r="116" spans="7:10" x14ac:dyDescent="0.25">
      <c r="G116" s="2"/>
      <c r="H116" s="2"/>
      <c r="I116" s="2"/>
      <c r="J116" s="2"/>
    </row>
    <row r="117" spans="7:10" x14ac:dyDescent="0.25">
      <c r="G117" s="2"/>
      <c r="H117" s="2"/>
      <c r="I117" s="2"/>
      <c r="J117" s="2"/>
    </row>
    <row r="118" spans="7:10" x14ac:dyDescent="0.25">
      <c r="G118" s="2"/>
      <c r="H118" s="2"/>
      <c r="I118" s="2"/>
      <c r="J118" s="2"/>
    </row>
    <row r="119" spans="7:10" x14ac:dyDescent="0.25">
      <c r="G119" s="2"/>
      <c r="H119" s="2"/>
      <c r="I119" s="2"/>
      <c r="J119" s="2"/>
    </row>
    <row r="120" spans="7:10" x14ac:dyDescent="0.25">
      <c r="G120" s="2"/>
      <c r="H120" s="2"/>
      <c r="I120" s="2"/>
      <c r="J120" s="2"/>
    </row>
    <row r="121" spans="7:10" x14ac:dyDescent="0.25">
      <c r="G121" s="2"/>
      <c r="H121" s="2"/>
      <c r="I121" s="2"/>
      <c r="J121" s="2"/>
    </row>
    <row r="122" spans="7:10" x14ac:dyDescent="0.25">
      <c r="G122" s="2"/>
      <c r="H122" s="2"/>
      <c r="I122" s="2"/>
      <c r="J122" s="2"/>
    </row>
    <row r="123" spans="7:10" x14ac:dyDescent="0.25">
      <c r="G123" s="2"/>
      <c r="H123" s="2"/>
      <c r="I123" s="2"/>
      <c r="J123" s="2"/>
    </row>
    <row r="124" spans="7:10" x14ac:dyDescent="0.25">
      <c r="G124" s="2"/>
      <c r="H124" s="2"/>
      <c r="I124" s="2"/>
      <c r="J124" s="2"/>
    </row>
    <row r="125" spans="7:10" x14ac:dyDescent="0.25">
      <c r="G125" s="2"/>
      <c r="H125" s="2"/>
      <c r="I125" s="2"/>
      <c r="J125" s="2"/>
    </row>
    <row r="126" spans="7:10" x14ac:dyDescent="0.25">
      <c r="G126" s="2"/>
      <c r="H126" s="2"/>
      <c r="I126" s="2"/>
      <c r="J126" s="2"/>
    </row>
    <row r="127" spans="7:10" x14ac:dyDescent="0.25">
      <c r="G127" s="2"/>
      <c r="H127" s="2"/>
      <c r="I127" s="2"/>
      <c r="J127" s="2"/>
    </row>
    <row r="128" spans="7:10" x14ac:dyDescent="0.25">
      <c r="G128" s="2"/>
      <c r="H128" s="2"/>
      <c r="I128" s="2"/>
      <c r="J128" s="2"/>
    </row>
    <row r="129" spans="7:10" x14ac:dyDescent="0.25">
      <c r="G129" s="2"/>
      <c r="H129" s="2"/>
      <c r="I129" s="2"/>
      <c r="J129" s="2"/>
    </row>
    <row r="130" spans="7:10" x14ac:dyDescent="0.25">
      <c r="G130" s="2"/>
      <c r="H130" s="2"/>
      <c r="I130" s="2"/>
      <c r="J130" s="2"/>
    </row>
    <row r="131" spans="7:10" x14ac:dyDescent="0.25">
      <c r="G131" s="2"/>
      <c r="H131" s="2"/>
      <c r="I131" s="2"/>
      <c r="J131" s="2"/>
    </row>
    <row r="132" spans="7:10" x14ac:dyDescent="0.25">
      <c r="G132" s="2"/>
      <c r="H132" s="2"/>
      <c r="I132" s="2"/>
      <c r="J132" s="2"/>
    </row>
    <row r="133" spans="7:10" x14ac:dyDescent="0.25">
      <c r="G133" s="2"/>
      <c r="H133" s="2"/>
      <c r="I133" s="2"/>
      <c r="J133" s="2"/>
    </row>
    <row r="134" spans="7:10" x14ac:dyDescent="0.25">
      <c r="G134" s="2"/>
      <c r="H134" s="2"/>
      <c r="I134" s="2"/>
      <c r="J134" s="2"/>
    </row>
    <row r="135" spans="7:10" x14ac:dyDescent="0.25">
      <c r="G135" s="2"/>
      <c r="H135" s="2"/>
      <c r="I135" s="2"/>
      <c r="J135" s="2"/>
    </row>
    <row r="136" spans="7:10" x14ac:dyDescent="0.25">
      <c r="G136" s="2"/>
      <c r="H136" s="2"/>
      <c r="I136" s="2"/>
      <c r="J136" s="2"/>
    </row>
    <row r="137" spans="7:10" x14ac:dyDescent="0.25">
      <c r="G137" s="2"/>
      <c r="H137" s="2"/>
      <c r="I137" s="2"/>
      <c r="J137" s="2"/>
    </row>
    <row r="138" spans="7:10" x14ac:dyDescent="0.25">
      <c r="G138" s="2"/>
      <c r="H138" s="2"/>
      <c r="I138" s="2"/>
      <c r="J138" s="2"/>
    </row>
    <row r="139" spans="7:10" x14ac:dyDescent="0.25">
      <c r="G139" s="2"/>
      <c r="H139" s="2"/>
      <c r="I139" s="2"/>
      <c r="J139" s="2"/>
    </row>
    <row r="140" spans="7:10" x14ac:dyDescent="0.25">
      <c r="G140" s="2"/>
      <c r="H140" s="2"/>
      <c r="I140" s="2"/>
      <c r="J140" s="2"/>
    </row>
    <row r="141" spans="7:10" x14ac:dyDescent="0.25">
      <c r="G141" s="2"/>
      <c r="H141" s="2"/>
      <c r="I141" s="2"/>
      <c r="J141" s="2"/>
    </row>
    <row r="142" spans="7:10" x14ac:dyDescent="0.25">
      <c r="G142" s="2"/>
      <c r="H142" s="2"/>
      <c r="I142" s="2"/>
      <c r="J142" s="2"/>
    </row>
    <row r="143" spans="7:10" x14ac:dyDescent="0.25">
      <c r="G143" s="2"/>
      <c r="H143" s="2"/>
      <c r="I143" s="2"/>
      <c r="J143" s="2"/>
    </row>
    <row r="144" spans="7:10" x14ac:dyDescent="0.25">
      <c r="G144" s="2"/>
      <c r="H144" s="2"/>
      <c r="I144" s="2"/>
      <c r="J144" s="2"/>
    </row>
    <row r="145" spans="7:10" x14ac:dyDescent="0.25">
      <c r="G145" s="2"/>
      <c r="H145" s="2"/>
      <c r="I145" s="2"/>
      <c r="J145" s="2"/>
    </row>
    <row r="146" spans="7:10" x14ac:dyDescent="0.25">
      <c r="G146" s="2"/>
      <c r="H146" s="2"/>
      <c r="I146" s="2"/>
      <c r="J146" s="2"/>
    </row>
    <row r="147" spans="7:10" x14ac:dyDescent="0.25">
      <c r="G147" s="2"/>
      <c r="H147" s="2"/>
      <c r="I147" s="2"/>
      <c r="J147" s="2"/>
    </row>
    <row r="148" spans="7:10" x14ac:dyDescent="0.25">
      <c r="G148" s="2"/>
      <c r="H148" s="2"/>
      <c r="I148" s="2"/>
      <c r="J148" s="2"/>
    </row>
    <row r="149" spans="7:10" x14ac:dyDescent="0.25">
      <c r="G149" s="2"/>
      <c r="H149" s="2"/>
      <c r="I149" s="2"/>
      <c r="J149" s="2"/>
    </row>
    <row r="150" spans="7:10" x14ac:dyDescent="0.25">
      <c r="G150" s="2"/>
      <c r="H150" s="2"/>
      <c r="I150" s="2"/>
      <c r="J150" s="2"/>
    </row>
    <row r="151" spans="7:10" x14ac:dyDescent="0.25">
      <c r="G151" s="2"/>
      <c r="H151" s="2"/>
      <c r="I151" s="2"/>
      <c r="J151" s="2"/>
    </row>
    <row r="152" spans="7:10" x14ac:dyDescent="0.25">
      <c r="G152" s="2"/>
      <c r="H152" s="2"/>
      <c r="I152" s="2"/>
      <c r="J152" s="2"/>
    </row>
    <row r="153" spans="7:10" x14ac:dyDescent="0.25">
      <c r="G153" s="2"/>
      <c r="H153" s="2"/>
      <c r="I153" s="2"/>
      <c r="J153" s="2"/>
    </row>
    <row r="154" spans="7:10" x14ac:dyDescent="0.25">
      <c r="G154" s="2"/>
      <c r="H154" s="2"/>
      <c r="I154" s="2"/>
      <c r="J154" s="2"/>
    </row>
    <row r="155" spans="7:10" x14ac:dyDescent="0.25">
      <c r="G155" s="2"/>
      <c r="H155" s="2"/>
      <c r="I155" s="2"/>
      <c r="J155" s="2"/>
    </row>
    <row r="156" spans="7:10" x14ac:dyDescent="0.25">
      <c r="G156" s="2"/>
      <c r="H156" s="2"/>
      <c r="I156" s="2"/>
      <c r="J156" s="2"/>
    </row>
    <row r="157" spans="7:10" x14ac:dyDescent="0.25">
      <c r="G157" s="2"/>
      <c r="H157" s="2"/>
      <c r="I157" s="2"/>
      <c r="J157" s="2"/>
    </row>
    <row r="158" spans="7:10" x14ac:dyDescent="0.25">
      <c r="G158" s="2"/>
      <c r="H158" s="2"/>
      <c r="I158" s="2"/>
      <c r="J158" s="2"/>
    </row>
    <row r="159" spans="7:10" x14ac:dyDescent="0.25">
      <c r="G159" s="2"/>
      <c r="H159" s="2"/>
      <c r="I159" s="2"/>
      <c r="J159" s="2"/>
    </row>
    <row r="160" spans="7:10" x14ac:dyDescent="0.25">
      <c r="G160" s="2"/>
      <c r="H160" s="2"/>
      <c r="I160" s="2"/>
      <c r="J160" s="2"/>
    </row>
    <row r="161" spans="7:10" x14ac:dyDescent="0.25">
      <c r="G161" s="2"/>
      <c r="H161" s="2"/>
      <c r="I161" s="2"/>
      <c r="J161" s="2"/>
    </row>
    <row r="162" spans="7:10" x14ac:dyDescent="0.25">
      <c r="G162" s="2"/>
      <c r="H162" s="2"/>
      <c r="I162" s="2"/>
      <c r="J162" s="2"/>
    </row>
    <row r="163" spans="7:10" x14ac:dyDescent="0.25">
      <c r="G163" s="2"/>
      <c r="H163" s="2"/>
      <c r="I163" s="2"/>
      <c r="J163" s="2"/>
    </row>
    <row r="164" spans="7:10" x14ac:dyDescent="0.25">
      <c r="G164" s="2"/>
      <c r="H164" s="2"/>
      <c r="I164" s="2"/>
      <c r="J164" s="2"/>
    </row>
    <row r="165" spans="7:10" x14ac:dyDescent="0.25">
      <c r="G165" s="2"/>
      <c r="H165" s="2"/>
      <c r="I165" s="2"/>
      <c r="J165" s="2"/>
    </row>
    <row r="166" spans="7:10" x14ac:dyDescent="0.25">
      <c r="G166" s="2"/>
      <c r="H166" s="2"/>
      <c r="I166" s="2"/>
      <c r="J166" s="2"/>
    </row>
    <row r="167" spans="7:10" x14ac:dyDescent="0.25">
      <c r="G167" s="2"/>
      <c r="H167" s="2"/>
      <c r="I167" s="2"/>
      <c r="J167" s="2"/>
    </row>
    <row r="168" spans="7:10" x14ac:dyDescent="0.25">
      <c r="G168" s="2"/>
      <c r="H168" s="2"/>
      <c r="I168" s="2"/>
      <c r="J168" s="2"/>
    </row>
    <row r="169" spans="7:10" x14ac:dyDescent="0.25">
      <c r="G169" s="2"/>
      <c r="H169" s="2"/>
      <c r="I169" s="2"/>
      <c r="J169" s="2"/>
    </row>
    <row r="170" spans="7:10" x14ac:dyDescent="0.25">
      <c r="G170" s="2"/>
      <c r="H170" s="2"/>
      <c r="I170" s="2"/>
      <c r="J170" s="2"/>
    </row>
    <row r="171" spans="7:10" x14ac:dyDescent="0.25">
      <c r="G171" s="2"/>
      <c r="H171" s="2"/>
      <c r="I171" s="2"/>
      <c r="J171" s="2"/>
    </row>
    <row r="172" spans="7:10" x14ac:dyDescent="0.25">
      <c r="G172" s="2"/>
      <c r="H172" s="2"/>
      <c r="I172" s="2"/>
      <c r="J172" s="2"/>
    </row>
    <row r="173" spans="7:10" x14ac:dyDescent="0.25">
      <c r="G173" s="2"/>
      <c r="H173" s="2"/>
      <c r="I173" s="2"/>
      <c r="J173" s="2"/>
    </row>
    <row r="174" spans="7:10" x14ac:dyDescent="0.25">
      <c r="G174" s="2"/>
      <c r="H174" s="2"/>
      <c r="I174" s="2"/>
      <c r="J174" s="2"/>
    </row>
    <row r="175" spans="7:10" x14ac:dyDescent="0.25">
      <c r="G175" s="2"/>
      <c r="H175" s="2"/>
      <c r="I175" s="2"/>
      <c r="J175" s="2"/>
    </row>
    <row r="176" spans="7:10" x14ac:dyDescent="0.25">
      <c r="G176" s="2"/>
      <c r="H176" s="2"/>
      <c r="I176" s="2"/>
      <c r="J176" s="2"/>
    </row>
    <row r="177" spans="7:10" x14ac:dyDescent="0.25">
      <c r="G177" s="2"/>
      <c r="H177" s="2"/>
      <c r="I177" s="2"/>
      <c r="J177" s="2"/>
    </row>
    <row r="178" spans="7:10" x14ac:dyDescent="0.25">
      <c r="G178" s="2"/>
      <c r="H178" s="2"/>
      <c r="I178" s="2"/>
      <c r="J178" s="2"/>
    </row>
    <row r="179" spans="7:10" x14ac:dyDescent="0.25">
      <c r="G179" s="2"/>
      <c r="H179" s="2"/>
      <c r="I179" s="2"/>
      <c r="J179" s="2"/>
    </row>
    <row r="180" spans="7:10" x14ac:dyDescent="0.25">
      <c r="G180" s="2"/>
      <c r="H180" s="2"/>
      <c r="I180" s="2"/>
      <c r="J180" s="2"/>
    </row>
    <row r="181" spans="7:10" x14ac:dyDescent="0.25">
      <c r="G181" s="2"/>
      <c r="H181" s="2"/>
      <c r="I181" s="2"/>
      <c r="J181" s="2"/>
    </row>
    <row r="182" spans="7:10" x14ac:dyDescent="0.25">
      <c r="G182" s="2"/>
      <c r="H182" s="2"/>
      <c r="I182" s="2"/>
      <c r="J182" s="2"/>
    </row>
    <row r="183" spans="7:10" x14ac:dyDescent="0.25">
      <c r="G183" s="2"/>
      <c r="H183" s="2"/>
      <c r="I183" s="2"/>
      <c r="J183" s="2"/>
    </row>
    <row r="184" spans="7:10" x14ac:dyDescent="0.25">
      <c r="G184" s="2"/>
      <c r="H184" s="2"/>
      <c r="I184" s="2"/>
      <c r="J184" s="2"/>
    </row>
    <row r="185" spans="7:10" x14ac:dyDescent="0.25">
      <c r="G185" s="2"/>
      <c r="H185" s="2"/>
      <c r="I185" s="2"/>
      <c r="J185" s="2"/>
    </row>
    <row r="186" spans="7:10" x14ac:dyDescent="0.25">
      <c r="G186" s="2"/>
      <c r="H186" s="2"/>
      <c r="I186" s="2"/>
      <c r="J186" s="2"/>
    </row>
    <row r="187" spans="7:10" x14ac:dyDescent="0.25">
      <c r="G187" s="2"/>
      <c r="H187" s="2"/>
      <c r="I187" s="2"/>
      <c r="J187" s="2"/>
    </row>
    <row r="188" spans="7:10" x14ac:dyDescent="0.25">
      <c r="G188" s="2"/>
      <c r="H188" s="2"/>
      <c r="I188" s="2"/>
      <c r="J188" s="2"/>
    </row>
    <row r="189" spans="7:10" x14ac:dyDescent="0.25">
      <c r="G189" s="2"/>
      <c r="H189" s="2"/>
      <c r="I189" s="2"/>
      <c r="J189" s="2"/>
    </row>
    <row r="190" spans="7:10" x14ac:dyDescent="0.25">
      <c r="G190" s="2"/>
      <c r="H190" s="2"/>
      <c r="I190" s="2"/>
      <c r="J190" s="2"/>
    </row>
    <row r="191" spans="7:10" x14ac:dyDescent="0.25">
      <c r="G191" s="2"/>
      <c r="H191" s="2"/>
      <c r="I191" s="2"/>
      <c r="J191" s="2"/>
    </row>
    <row r="192" spans="7:10" x14ac:dyDescent="0.25">
      <c r="G192" s="2"/>
      <c r="H192" s="2"/>
      <c r="I192" s="2"/>
      <c r="J192" s="2"/>
    </row>
    <row r="193" spans="7:10" x14ac:dyDescent="0.25">
      <c r="G193" s="2"/>
      <c r="H193" s="2"/>
      <c r="I193" s="2"/>
      <c r="J193" s="2"/>
    </row>
    <row r="194" spans="7:10" x14ac:dyDescent="0.25">
      <c r="G194" s="2"/>
      <c r="H194" s="2"/>
      <c r="I194" s="2"/>
      <c r="J194" s="2"/>
    </row>
    <row r="195" spans="7:10" x14ac:dyDescent="0.25">
      <c r="G195" s="2"/>
      <c r="H195" s="2"/>
      <c r="I195" s="2"/>
      <c r="J195" s="2"/>
    </row>
    <row r="196" spans="7:10" x14ac:dyDescent="0.25">
      <c r="G196" s="2"/>
      <c r="H196" s="2"/>
      <c r="I196" s="2"/>
      <c r="J196" s="2"/>
    </row>
    <row r="197" spans="7:10" x14ac:dyDescent="0.25">
      <c r="G197" s="2"/>
      <c r="H197" s="2"/>
      <c r="I197" s="2"/>
      <c r="J197" s="2"/>
    </row>
    <row r="198" spans="7:10" x14ac:dyDescent="0.25">
      <c r="G198" s="2"/>
      <c r="H198" s="2"/>
      <c r="I198" s="2"/>
      <c r="J198" s="2"/>
    </row>
    <row r="199" spans="7:10" x14ac:dyDescent="0.25">
      <c r="G199" s="2"/>
      <c r="H199" s="2"/>
      <c r="I199" s="2"/>
      <c r="J199" s="2"/>
    </row>
    <row r="200" spans="7:10" x14ac:dyDescent="0.25">
      <c r="G200" s="2"/>
      <c r="H200" s="2"/>
      <c r="I200" s="2"/>
      <c r="J200" s="2"/>
    </row>
    <row r="201" spans="7:10" x14ac:dyDescent="0.25">
      <c r="G201" s="2"/>
      <c r="H201" s="2"/>
      <c r="I201" s="2"/>
      <c r="J201" s="2"/>
    </row>
    <row r="202" spans="7:10" x14ac:dyDescent="0.25">
      <c r="G202" s="2"/>
      <c r="H202" s="2"/>
      <c r="I202" s="2"/>
      <c r="J202" s="2"/>
    </row>
    <row r="203" spans="7:10" x14ac:dyDescent="0.25">
      <c r="G203" s="2"/>
      <c r="H203" s="2"/>
      <c r="I203" s="2"/>
      <c r="J203" s="2"/>
    </row>
    <row r="204" spans="7:10" x14ac:dyDescent="0.25">
      <c r="G204" s="2"/>
      <c r="H204" s="2"/>
      <c r="I204" s="2"/>
      <c r="J204" s="2"/>
    </row>
    <row r="205" spans="7:10" x14ac:dyDescent="0.25">
      <c r="G205" s="2"/>
      <c r="H205" s="2"/>
      <c r="I205" s="2"/>
      <c r="J205" s="2"/>
    </row>
    <row r="206" spans="7:10" x14ac:dyDescent="0.25">
      <c r="G206" s="2"/>
      <c r="H206" s="2"/>
      <c r="I206" s="2"/>
      <c r="J206" s="2"/>
    </row>
    <row r="207" spans="7:10" x14ac:dyDescent="0.25">
      <c r="G207" s="2"/>
      <c r="H207" s="2"/>
      <c r="I207" s="2"/>
      <c r="J207" s="2"/>
    </row>
    <row r="208" spans="7:10" x14ac:dyDescent="0.25">
      <c r="G208" s="2"/>
      <c r="H208" s="2"/>
      <c r="I208" s="2"/>
      <c r="J208" s="2"/>
    </row>
    <row r="209" spans="7:10" x14ac:dyDescent="0.25">
      <c r="G209" s="2"/>
      <c r="H209" s="2"/>
      <c r="I209" s="2"/>
      <c r="J209" s="2"/>
    </row>
    <row r="210" spans="7:10" x14ac:dyDescent="0.25">
      <c r="G210" s="2"/>
      <c r="H210" s="2"/>
      <c r="I210" s="2"/>
      <c r="J210" s="2"/>
    </row>
    <row r="211" spans="7:10" x14ac:dyDescent="0.25">
      <c r="G211" s="2"/>
      <c r="H211" s="2"/>
      <c r="I211" s="2"/>
      <c r="J211" s="2"/>
    </row>
    <row r="212" spans="7:10" x14ac:dyDescent="0.25">
      <c r="G212" s="2"/>
      <c r="H212" s="2"/>
      <c r="I212" s="2"/>
      <c r="J212" s="2"/>
    </row>
    <row r="213" spans="7:10" x14ac:dyDescent="0.25">
      <c r="G213" s="2"/>
      <c r="H213" s="2"/>
      <c r="I213" s="2"/>
      <c r="J213" s="2"/>
    </row>
    <row r="214" spans="7:10" x14ac:dyDescent="0.25">
      <c r="G214" s="2"/>
      <c r="H214" s="2"/>
      <c r="I214" s="2"/>
      <c r="J214" s="2"/>
    </row>
    <row r="215" spans="7:10" x14ac:dyDescent="0.25">
      <c r="G215" s="2"/>
      <c r="H215" s="2"/>
      <c r="I215" s="2"/>
      <c r="J215" s="2"/>
    </row>
    <row r="216" spans="7:10" x14ac:dyDescent="0.25">
      <c r="G216" s="2"/>
      <c r="H216" s="2"/>
      <c r="I216" s="2"/>
      <c r="J216" s="2"/>
    </row>
    <row r="217" spans="7:10" x14ac:dyDescent="0.25">
      <c r="G217" s="2"/>
      <c r="H217" s="2"/>
      <c r="I217" s="2"/>
      <c r="J217" s="2"/>
    </row>
    <row r="218" spans="7:10" x14ac:dyDescent="0.25">
      <c r="G218" s="2"/>
      <c r="H218" s="2"/>
      <c r="I218" s="2"/>
      <c r="J218" s="2"/>
    </row>
    <row r="219" spans="7:10" x14ac:dyDescent="0.25">
      <c r="G219" s="2"/>
      <c r="H219" s="2"/>
      <c r="I219" s="2"/>
      <c r="J219" s="2"/>
    </row>
    <row r="220" spans="7:10" x14ac:dyDescent="0.25">
      <c r="G220" s="2"/>
      <c r="H220" s="2"/>
      <c r="I220" s="2"/>
      <c r="J220" s="2"/>
    </row>
    <row r="221" spans="7:10" x14ac:dyDescent="0.25">
      <c r="G221" s="2"/>
      <c r="H221" s="2"/>
      <c r="I221" s="2"/>
      <c r="J221" s="2"/>
    </row>
    <row r="222" spans="7:10" x14ac:dyDescent="0.25">
      <c r="G222" s="2"/>
      <c r="H222" s="2"/>
      <c r="I222" s="2"/>
      <c r="J222" s="2"/>
    </row>
    <row r="223" spans="7:10" x14ac:dyDescent="0.25">
      <c r="G223" s="2"/>
      <c r="H223" s="2"/>
      <c r="I223" s="2"/>
      <c r="J223" s="2"/>
    </row>
    <row r="224" spans="7:10" x14ac:dyDescent="0.25">
      <c r="G224" s="2"/>
      <c r="H224" s="2"/>
      <c r="I224" s="2"/>
      <c r="J224" s="2"/>
    </row>
    <row r="225" spans="7:10" x14ac:dyDescent="0.25">
      <c r="G225" s="2"/>
      <c r="H225" s="2"/>
      <c r="I225" s="2"/>
      <c r="J225" s="2"/>
    </row>
    <row r="226" spans="7:10" x14ac:dyDescent="0.25">
      <c r="G226" s="2"/>
      <c r="H226" s="2"/>
      <c r="I226" s="2"/>
      <c r="J226" s="2"/>
    </row>
    <row r="227" spans="7:10" x14ac:dyDescent="0.25">
      <c r="G227" s="2"/>
      <c r="H227" s="2"/>
      <c r="I227" s="2"/>
      <c r="J227" s="2"/>
    </row>
    <row r="228" spans="7:10" x14ac:dyDescent="0.25">
      <c r="G228" s="2"/>
      <c r="H228" s="2"/>
      <c r="I228" s="2"/>
      <c r="J228" s="2"/>
    </row>
    <row r="229" spans="7:10" x14ac:dyDescent="0.25">
      <c r="G229" s="2"/>
      <c r="H229" s="2"/>
      <c r="I229" s="2"/>
      <c r="J229" s="2"/>
    </row>
    <row r="230" spans="7:10" x14ac:dyDescent="0.25">
      <c r="G230" s="2"/>
      <c r="H230" s="2"/>
      <c r="I230" s="2"/>
      <c r="J230" s="2"/>
    </row>
    <row r="231" spans="7:10" x14ac:dyDescent="0.25">
      <c r="G231" s="2"/>
      <c r="H231" s="2"/>
      <c r="I231" s="2"/>
      <c r="J231" s="2"/>
    </row>
    <row r="232" spans="7:10" x14ac:dyDescent="0.25">
      <c r="G232" s="2"/>
      <c r="H232" s="2"/>
      <c r="I232" s="2"/>
      <c r="J232" s="2"/>
    </row>
    <row r="233" spans="7:10" x14ac:dyDescent="0.25">
      <c r="G233" s="2"/>
      <c r="H233" s="2"/>
      <c r="I233" s="2"/>
      <c r="J233" s="2"/>
    </row>
    <row r="234" spans="7:10" x14ac:dyDescent="0.25">
      <c r="G234" s="2"/>
      <c r="H234" s="2"/>
      <c r="I234" s="2"/>
      <c r="J234" s="2"/>
    </row>
    <row r="235" spans="7:10" x14ac:dyDescent="0.25">
      <c r="G235" s="2"/>
      <c r="H235" s="2"/>
      <c r="I235" s="2"/>
      <c r="J235" s="2"/>
    </row>
    <row r="236" spans="7:10" x14ac:dyDescent="0.25">
      <c r="G236" s="2"/>
      <c r="H236" s="2"/>
      <c r="I236" s="2"/>
      <c r="J236" s="2"/>
    </row>
    <row r="237" spans="7:10" x14ac:dyDescent="0.25">
      <c r="G237" s="2"/>
      <c r="H237" s="2"/>
      <c r="I237" s="2"/>
      <c r="J237" s="2"/>
    </row>
    <row r="238" spans="7:10" x14ac:dyDescent="0.25">
      <c r="G238" s="2"/>
      <c r="H238" s="2"/>
      <c r="I238" s="2"/>
      <c r="J238" s="2"/>
    </row>
    <row r="239" spans="7:10" x14ac:dyDescent="0.25">
      <c r="G239" s="2"/>
      <c r="H239" s="2"/>
      <c r="I239" s="2"/>
      <c r="J239" s="2"/>
    </row>
    <row r="240" spans="7:10" x14ac:dyDescent="0.25">
      <c r="G240" s="2"/>
      <c r="H240" s="2"/>
      <c r="I240" s="2"/>
      <c r="J240" s="2"/>
    </row>
    <row r="241" spans="7:10" x14ac:dyDescent="0.25">
      <c r="G241" s="2"/>
      <c r="H241" s="2"/>
      <c r="I241" s="2"/>
      <c r="J241" s="2"/>
    </row>
    <row r="242" spans="7:10" x14ac:dyDescent="0.25">
      <c r="G242" s="2"/>
      <c r="H242" s="2"/>
      <c r="I242" s="2"/>
      <c r="J242" s="2"/>
    </row>
    <row r="243" spans="7:10" x14ac:dyDescent="0.25">
      <c r="G243" s="2"/>
      <c r="H243" s="2"/>
      <c r="I243" s="2"/>
      <c r="J243" s="2"/>
    </row>
    <row r="244" spans="7:10" x14ac:dyDescent="0.25">
      <c r="G244" s="2"/>
      <c r="H244" s="2"/>
      <c r="I244" s="2"/>
      <c r="J244" s="2"/>
    </row>
    <row r="245" spans="7:10" x14ac:dyDescent="0.25">
      <c r="G245" s="2"/>
      <c r="H245" s="2"/>
      <c r="I245" s="2"/>
      <c r="J245" s="2"/>
    </row>
    <row r="246" spans="7:10" x14ac:dyDescent="0.25">
      <c r="G246" s="2"/>
      <c r="H246" s="2"/>
      <c r="I246" s="2"/>
      <c r="J246" s="2"/>
    </row>
    <row r="247" spans="7:10" x14ac:dyDescent="0.25">
      <c r="G247" s="2"/>
      <c r="H247" s="2"/>
      <c r="I247" s="2"/>
      <c r="J247" s="2"/>
    </row>
    <row r="248" spans="7:10" x14ac:dyDescent="0.25">
      <c r="G248" s="2"/>
      <c r="H248" s="2"/>
      <c r="I248" s="2"/>
      <c r="J248" s="2"/>
    </row>
    <row r="249" spans="7:10" x14ac:dyDescent="0.25">
      <c r="G249" s="2"/>
      <c r="H249" s="2"/>
      <c r="I249" s="2"/>
      <c r="J249" s="2"/>
    </row>
    <row r="250" spans="7:10" x14ac:dyDescent="0.25">
      <c r="G250" s="2"/>
      <c r="H250" s="2"/>
      <c r="I250" s="2"/>
      <c r="J250" s="2"/>
    </row>
    <row r="251" spans="7:10" x14ac:dyDescent="0.25">
      <c r="G251" s="2"/>
      <c r="H251" s="2"/>
      <c r="I251" s="2"/>
      <c r="J251" s="2"/>
    </row>
    <row r="252" spans="7:10" x14ac:dyDescent="0.25">
      <c r="G252" s="2"/>
      <c r="H252" s="2"/>
      <c r="I252" s="2"/>
      <c r="J252" s="2"/>
    </row>
    <row r="253" spans="7:10" x14ac:dyDescent="0.25">
      <c r="G253" s="2"/>
      <c r="H253" s="2"/>
      <c r="I253" s="2"/>
      <c r="J253" s="2"/>
    </row>
    <row r="254" spans="7:10" x14ac:dyDescent="0.25">
      <c r="G254" s="2"/>
      <c r="H254" s="2"/>
      <c r="I254" s="2"/>
      <c r="J254" s="2"/>
    </row>
    <row r="255" spans="7:10" x14ac:dyDescent="0.25">
      <c r="G255" s="2"/>
      <c r="H255" s="2"/>
      <c r="I255" s="2"/>
      <c r="J255" s="2"/>
    </row>
    <row r="256" spans="7:10" x14ac:dyDescent="0.25">
      <c r="G256" s="2"/>
      <c r="H256" s="2"/>
      <c r="I256" s="2"/>
      <c r="J256" s="2"/>
    </row>
    <row r="257" spans="7:10" x14ac:dyDescent="0.25">
      <c r="G257" s="2"/>
      <c r="H257" s="2"/>
      <c r="I257" s="2"/>
      <c r="J257" s="2"/>
    </row>
    <row r="258" spans="7:10" x14ac:dyDescent="0.25">
      <c r="G258" s="2"/>
      <c r="H258" s="2"/>
      <c r="I258" s="2"/>
      <c r="J258" s="2"/>
    </row>
    <row r="259" spans="7:10" x14ac:dyDescent="0.25">
      <c r="G259" s="2"/>
      <c r="H259" s="2"/>
      <c r="I259" s="2"/>
      <c r="J259" s="2"/>
    </row>
    <row r="260" spans="7:10" x14ac:dyDescent="0.25">
      <c r="G260" s="2"/>
      <c r="H260" s="2"/>
      <c r="I260" s="2"/>
      <c r="J260" s="2"/>
    </row>
    <row r="261" spans="7:10" x14ac:dyDescent="0.25">
      <c r="G261" s="2"/>
      <c r="H261" s="2"/>
      <c r="I261" s="2"/>
      <c r="J261" s="2"/>
    </row>
    <row r="262" spans="7:10" x14ac:dyDescent="0.25">
      <c r="G262" s="2"/>
      <c r="H262" s="2"/>
      <c r="I262" s="2"/>
      <c r="J262" s="2"/>
    </row>
    <row r="263" spans="7:10" x14ac:dyDescent="0.25">
      <c r="G263" s="2"/>
      <c r="H263" s="2"/>
      <c r="I263" s="2"/>
      <c r="J263" s="2"/>
    </row>
    <row r="264" spans="7:10" x14ac:dyDescent="0.25">
      <c r="G264" s="2"/>
      <c r="H264" s="2"/>
      <c r="I264" s="2"/>
      <c r="J264" s="2"/>
    </row>
    <row r="265" spans="7:10" x14ac:dyDescent="0.25">
      <c r="G265" s="2"/>
      <c r="H265" s="2"/>
      <c r="I265" s="2"/>
      <c r="J265" s="2"/>
    </row>
    <row r="266" spans="7:10" x14ac:dyDescent="0.25">
      <c r="G266" s="2"/>
      <c r="H266" s="2"/>
      <c r="I266" s="2"/>
      <c r="J266" s="2"/>
    </row>
    <row r="267" spans="7:10" x14ac:dyDescent="0.25">
      <c r="G267" s="2"/>
      <c r="H267" s="2"/>
      <c r="I267" s="2"/>
      <c r="J267" s="2"/>
    </row>
    <row r="268" spans="7:10" x14ac:dyDescent="0.25">
      <c r="G268" s="2"/>
      <c r="H268" s="2"/>
      <c r="I268" s="2"/>
      <c r="J268" s="2"/>
    </row>
    <row r="269" spans="7:10" x14ac:dyDescent="0.25">
      <c r="G269" s="2"/>
      <c r="H269" s="2"/>
      <c r="I269" s="2"/>
      <c r="J269" s="2"/>
    </row>
    <row r="270" spans="7:10" x14ac:dyDescent="0.25">
      <c r="G270" s="2"/>
      <c r="H270" s="2"/>
      <c r="I270" s="2"/>
      <c r="J270" s="2"/>
    </row>
    <row r="271" spans="7:10" x14ac:dyDescent="0.25">
      <c r="G271" s="2"/>
      <c r="H271" s="2"/>
      <c r="I271" s="2"/>
      <c r="J271" s="2"/>
    </row>
    <row r="272" spans="7:10" x14ac:dyDescent="0.25">
      <c r="G272" s="2"/>
      <c r="H272" s="2"/>
      <c r="I272" s="2"/>
      <c r="J272" s="2"/>
    </row>
    <row r="273" spans="7:10" x14ac:dyDescent="0.25">
      <c r="G273" s="2"/>
      <c r="H273" s="2"/>
      <c r="I273" s="2"/>
      <c r="J273" s="2"/>
    </row>
    <row r="274" spans="7:10" x14ac:dyDescent="0.25">
      <c r="G274" s="2"/>
      <c r="H274" s="2"/>
      <c r="I274" s="2"/>
      <c r="J274" s="2"/>
    </row>
    <row r="275" spans="7:10" x14ac:dyDescent="0.25">
      <c r="G275" s="2"/>
      <c r="H275" s="2"/>
      <c r="I275" s="2"/>
      <c r="J275" s="2"/>
    </row>
    <row r="276" spans="7:10" x14ac:dyDescent="0.25">
      <c r="G276" s="2"/>
      <c r="H276" s="2"/>
      <c r="I276" s="2"/>
      <c r="J276" s="2"/>
    </row>
    <row r="277" spans="7:10" x14ac:dyDescent="0.25">
      <c r="G277" s="2"/>
      <c r="H277" s="2"/>
      <c r="I277" s="2"/>
      <c r="J277" s="2"/>
    </row>
    <row r="278" spans="7:10" x14ac:dyDescent="0.25">
      <c r="G278" s="2"/>
      <c r="H278" s="2"/>
      <c r="I278" s="2"/>
      <c r="J278" s="2"/>
    </row>
    <row r="279" spans="7:10" x14ac:dyDescent="0.25">
      <c r="G279" s="2"/>
      <c r="H279" s="2"/>
      <c r="I279" s="2"/>
      <c r="J279" s="2"/>
    </row>
    <row r="280" spans="7:10" x14ac:dyDescent="0.25">
      <c r="G280" s="2"/>
      <c r="H280" s="2"/>
      <c r="I280" s="2"/>
      <c r="J280" s="2"/>
    </row>
    <row r="281" spans="7:10" x14ac:dyDescent="0.25">
      <c r="G281" s="2"/>
      <c r="H281" s="2"/>
      <c r="I281" s="2"/>
      <c r="J281" s="2"/>
    </row>
    <row r="282" spans="7:10" x14ac:dyDescent="0.25">
      <c r="G282" s="2"/>
      <c r="H282" s="2"/>
      <c r="I282" s="2"/>
      <c r="J282" s="2"/>
    </row>
    <row r="283" spans="7:10" x14ac:dyDescent="0.25">
      <c r="G283" s="2"/>
      <c r="H283" s="2"/>
      <c r="I283" s="2"/>
      <c r="J283" s="2"/>
    </row>
    <row r="284" spans="7:10" x14ac:dyDescent="0.25">
      <c r="G284" s="2"/>
      <c r="H284" s="2"/>
      <c r="I284" s="2"/>
      <c r="J284" s="2"/>
    </row>
    <row r="285" spans="7:10" x14ac:dyDescent="0.25">
      <c r="G285" s="2"/>
      <c r="H285" s="2"/>
      <c r="I285" s="2"/>
      <c r="J285" s="2"/>
    </row>
    <row r="286" spans="7:10" x14ac:dyDescent="0.25">
      <c r="G286" s="2"/>
      <c r="H286" s="2"/>
      <c r="I286" s="2"/>
      <c r="J286" s="2"/>
    </row>
    <row r="287" spans="7:10" x14ac:dyDescent="0.25">
      <c r="G287" s="2"/>
      <c r="H287" s="2"/>
      <c r="I287" s="2"/>
      <c r="J287" s="2"/>
    </row>
    <row r="288" spans="7:10" x14ac:dyDescent="0.25">
      <c r="G288" s="2"/>
      <c r="H288" s="2"/>
      <c r="I288" s="2"/>
      <c r="J288" s="2"/>
    </row>
    <row r="289" spans="7:10" x14ac:dyDescent="0.25">
      <c r="G289" s="2"/>
      <c r="H289" s="2"/>
      <c r="I289" s="2"/>
      <c r="J289" s="2"/>
    </row>
    <row r="290" spans="7:10" x14ac:dyDescent="0.25">
      <c r="G290" s="2"/>
      <c r="H290" s="2"/>
      <c r="I290" s="2"/>
      <c r="J290" s="2"/>
    </row>
    <row r="291" spans="7:10" x14ac:dyDescent="0.25">
      <c r="G291" s="2"/>
      <c r="H291" s="2"/>
      <c r="I291" s="2"/>
      <c r="J291" s="2"/>
    </row>
    <row r="292" spans="7:10" x14ac:dyDescent="0.25">
      <c r="G292" s="2"/>
      <c r="H292" s="2"/>
      <c r="I292" s="2"/>
      <c r="J292" s="2"/>
    </row>
    <row r="293" spans="7:10" x14ac:dyDescent="0.25">
      <c r="G293" s="2"/>
      <c r="H293" s="2"/>
      <c r="I293" s="2"/>
      <c r="J293" s="2"/>
    </row>
    <row r="294" spans="7:10" x14ac:dyDescent="0.25">
      <c r="G294" s="2"/>
      <c r="H294" s="2"/>
      <c r="I294" s="2"/>
      <c r="J294" s="2"/>
    </row>
    <row r="295" spans="7:10" x14ac:dyDescent="0.25">
      <c r="G295" s="2"/>
      <c r="H295" s="2"/>
      <c r="I295" s="2"/>
      <c r="J295" s="2"/>
    </row>
    <row r="296" spans="7:10" x14ac:dyDescent="0.25">
      <c r="G296" s="2"/>
      <c r="H296" s="2"/>
      <c r="I296" s="2"/>
      <c r="J296" s="2"/>
    </row>
    <row r="297" spans="7:10" x14ac:dyDescent="0.25">
      <c r="G297" s="2"/>
      <c r="H297" s="2"/>
      <c r="I297" s="2"/>
      <c r="J297" s="2"/>
    </row>
    <row r="298" spans="7:10" x14ac:dyDescent="0.25">
      <c r="G298" s="2"/>
      <c r="H298" s="2"/>
      <c r="I298" s="2"/>
      <c r="J298" s="2"/>
    </row>
    <row r="299" spans="7:10" x14ac:dyDescent="0.25">
      <c r="G299" s="2"/>
      <c r="H299" s="2"/>
      <c r="I299" s="2"/>
      <c r="J299" s="2"/>
    </row>
    <row r="300" spans="7:10" x14ac:dyDescent="0.25">
      <c r="G300" s="2"/>
      <c r="H300" s="2"/>
      <c r="I300" s="2"/>
      <c r="J300" s="2"/>
    </row>
    <row r="301" spans="7:10" x14ac:dyDescent="0.25">
      <c r="G301" s="2"/>
      <c r="H301" s="2"/>
      <c r="I301" s="2"/>
      <c r="J301" s="2"/>
    </row>
    <row r="302" spans="7:10" x14ac:dyDescent="0.25">
      <c r="G302" s="2"/>
      <c r="H302" s="2"/>
      <c r="I302" s="2"/>
      <c r="J302" s="2"/>
    </row>
    <row r="303" spans="7:10" x14ac:dyDescent="0.25">
      <c r="G303" s="2"/>
      <c r="H303" s="2"/>
      <c r="I303" s="2"/>
      <c r="J303" s="2"/>
    </row>
    <row r="304" spans="7:10" x14ac:dyDescent="0.25">
      <c r="G304" s="2"/>
      <c r="H304" s="2"/>
      <c r="I304" s="2"/>
      <c r="J304" s="2"/>
    </row>
    <row r="305" spans="7:10" x14ac:dyDescent="0.25">
      <c r="G305" s="2"/>
      <c r="H305" s="2"/>
      <c r="I305" s="2"/>
      <c r="J305" s="2"/>
    </row>
    <row r="306" spans="7:10" x14ac:dyDescent="0.25">
      <c r="G306" s="2"/>
      <c r="H306" s="2"/>
      <c r="I306" s="2"/>
      <c r="J306" s="2"/>
    </row>
    <row r="307" spans="7:10" x14ac:dyDescent="0.25">
      <c r="G307" s="2"/>
      <c r="H307" s="2"/>
      <c r="I307" s="2"/>
      <c r="J307" s="2"/>
    </row>
    <row r="308" spans="7:10" x14ac:dyDescent="0.25">
      <c r="G308" s="2"/>
      <c r="H308" s="2"/>
      <c r="I308" s="2"/>
      <c r="J308" s="2"/>
    </row>
    <row r="309" spans="7:10" x14ac:dyDescent="0.25">
      <c r="G309" s="2"/>
      <c r="H309" s="2"/>
      <c r="I309" s="2"/>
      <c r="J309" s="2"/>
    </row>
    <row r="310" spans="7:10" x14ac:dyDescent="0.25">
      <c r="G310" s="2"/>
      <c r="H310" s="2"/>
      <c r="I310" s="2"/>
      <c r="J310" s="2"/>
    </row>
    <row r="311" spans="7:10" x14ac:dyDescent="0.25">
      <c r="G311" s="2"/>
      <c r="H311" s="2"/>
      <c r="I311" s="2"/>
      <c r="J311" s="2"/>
    </row>
    <row r="312" spans="7:10" x14ac:dyDescent="0.25">
      <c r="G312" s="2"/>
      <c r="H312" s="2"/>
      <c r="I312" s="2"/>
      <c r="J312" s="2"/>
    </row>
    <row r="313" spans="7:10" x14ac:dyDescent="0.25">
      <c r="G313" s="2"/>
      <c r="H313" s="2"/>
      <c r="I313" s="2"/>
      <c r="J313" s="2"/>
    </row>
    <row r="314" spans="7:10" x14ac:dyDescent="0.25">
      <c r="G314" s="2"/>
      <c r="H314" s="2"/>
      <c r="I314" s="2"/>
      <c r="J314" s="2"/>
    </row>
    <row r="315" spans="7:10" x14ac:dyDescent="0.25">
      <c r="G315" s="2"/>
      <c r="H315" s="2"/>
      <c r="I315" s="2"/>
      <c r="J315" s="2"/>
    </row>
    <row r="316" spans="7:10" x14ac:dyDescent="0.25">
      <c r="G316" s="2"/>
      <c r="H316" s="2"/>
      <c r="I316" s="2"/>
      <c r="J316" s="2"/>
    </row>
    <row r="317" spans="7:10" x14ac:dyDescent="0.25">
      <c r="G317" s="2"/>
      <c r="H317" s="2"/>
      <c r="I317" s="2"/>
      <c r="J317" s="2"/>
    </row>
    <row r="318" spans="7:10" x14ac:dyDescent="0.25">
      <c r="G318" s="2"/>
      <c r="H318" s="2"/>
      <c r="I318" s="2"/>
      <c r="J318" s="2"/>
    </row>
    <row r="319" spans="7:10" x14ac:dyDescent="0.25">
      <c r="G319" s="2"/>
      <c r="H319" s="2"/>
      <c r="I319" s="2"/>
      <c r="J319" s="2"/>
    </row>
    <row r="320" spans="7:10" x14ac:dyDescent="0.25">
      <c r="G320" s="2"/>
      <c r="H320" s="2"/>
      <c r="I320" s="2"/>
      <c r="J320" s="2"/>
    </row>
    <row r="321" spans="7:10" x14ac:dyDescent="0.25">
      <c r="G321" s="2"/>
      <c r="H321" s="2"/>
      <c r="I321" s="2"/>
      <c r="J321" s="2"/>
    </row>
    <row r="322" spans="7:10" x14ac:dyDescent="0.25">
      <c r="G322" s="2"/>
      <c r="H322" s="2"/>
      <c r="I322" s="2"/>
      <c r="J322" s="2"/>
    </row>
    <row r="323" spans="7:10" x14ac:dyDescent="0.25">
      <c r="G323" s="2"/>
      <c r="H323" s="2"/>
      <c r="I323" s="2"/>
      <c r="J323" s="2"/>
    </row>
    <row r="324" spans="7:10" x14ac:dyDescent="0.25">
      <c r="G324" s="2"/>
      <c r="H324" s="2"/>
      <c r="I324" s="2"/>
      <c r="J324" s="2"/>
    </row>
    <row r="325" spans="7:10" x14ac:dyDescent="0.25">
      <c r="G325" s="2"/>
      <c r="H325" s="2"/>
      <c r="I325" s="2"/>
      <c r="J325" s="2"/>
    </row>
    <row r="326" spans="7:10" x14ac:dyDescent="0.25">
      <c r="G326" s="2"/>
      <c r="H326" s="2"/>
      <c r="I326" s="2"/>
      <c r="J326" s="2"/>
    </row>
    <row r="327" spans="7:10" x14ac:dyDescent="0.25">
      <c r="G327" s="2"/>
      <c r="H327" s="2"/>
      <c r="I327" s="2"/>
      <c r="J327" s="2"/>
    </row>
    <row r="328" spans="7:10" x14ac:dyDescent="0.25">
      <c r="G328" s="2"/>
      <c r="H328" s="2"/>
      <c r="I328" s="2"/>
      <c r="J328" s="2"/>
    </row>
    <row r="329" spans="7:10" x14ac:dyDescent="0.25">
      <c r="G329" s="2"/>
      <c r="H329" s="2"/>
      <c r="I329" s="2"/>
      <c r="J329" s="2"/>
    </row>
    <row r="330" spans="7:10" x14ac:dyDescent="0.25">
      <c r="G330" s="2"/>
      <c r="H330" s="2"/>
      <c r="I330" s="2"/>
      <c r="J330" s="2"/>
    </row>
    <row r="331" spans="7:10" x14ac:dyDescent="0.25">
      <c r="G331" s="2"/>
      <c r="H331" s="2"/>
      <c r="I331" s="2"/>
      <c r="J331" s="2"/>
    </row>
    <row r="332" spans="7:10" x14ac:dyDescent="0.25">
      <c r="G332" s="2"/>
      <c r="H332" s="2"/>
      <c r="I332" s="2"/>
      <c r="J332" s="2"/>
    </row>
    <row r="333" spans="7:10" x14ac:dyDescent="0.25">
      <c r="G333" s="2"/>
      <c r="H333" s="2"/>
      <c r="I333" s="2"/>
      <c r="J333" s="2"/>
    </row>
    <row r="334" spans="7:10" x14ac:dyDescent="0.25">
      <c r="G334" s="2"/>
      <c r="H334" s="2"/>
      <c r="I334" s="2"/>
      <c r="J334" s="2"/>
    </row>
    <row r="335" spans="7:10" x14ac:dyDescent="0.25">
      <c r="G335" s="2"/>
      <c r="H335" s="2"/>
      <c r="I335" s="2"/>
      <c r="J335" s="2"/>
    </row>
    <row r="336" spans="7:10" x14ac:dyDescent="0.25">
      <c r="G336" s="2"/>
      <c r="H336" s="2"/>
      <c r="I336" s="2"/>
      <c r="J336" s="2"/>
    </row>
    <row r="337" spans="7:10" x14ac:dyDescent="0.25">
      <c r="G337" s="2"/>
      <c r="H337" s="2"/>
      <c r="I337" s="2"/>
      <c r="J337" s="2"/>
    </row>
    <row r="338" spans="7:10" x14ac:dyDescent="0.25">
      <c r="G338" s="2"/>
      <c r="H338" s="2"/>
      <c r="I338" s="2"/>
      <c r="J338" s="2"/>
    </row>
    <row r="339" spans="7:10" x14ac:dyDescent="0.25">
      <c r="G339" s="2"/>
      <c r="H339" s="2"/>
      <c r="I339" s="2"/>
      <c r="J339" s="2"/>
    </row>
    <row r="340" spans="7:10" x14ac:dyDescent="0.25">
      <c r="G340" s="2"/>
      <c r="H340" s="2"/>
      <c r="I340" s="2"/>
      <c r="J340" s="2"/>
    </row>
    <row r="341" spans="7:10" x14ac:dyDescent="0.25">
      <c r="G341" s="2"/>
      <c r="H341" s="2"/>
      <c r="I341" s="2"/>
      <c r="J341" s="2"/>
    </row>
    <row r="342" spans="7:10" x14ac:dyDescent="0.25">
      <c r="G342" s="2"/>
      <c r="H342" s="2"/>
      <c r="I342" s="2"/>
      <c r="J342" s="2"/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 r:id="rId1"/>
  <headerFooter>
    <oddHeader>&amp;C&amp;"Times New Roman,Regular"&amp;12&amp;Kffffff&amp;A</oddHeader>
    <oddFooter>&amp;C&amp;"Times New Roman,Regular"&amp;12&amp;KffffffPage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73"/>
  <sheetViews>
    <sheetView zoomScaleNormal="100" workbookViewId="0">
      <selection activeCell="D14" sqref="D14"/>
    </sheetView>
  </sheetViews>
  <sheetFormatPr defaultColWidth="11.5703125" defaultRowHeight="13.9" customHeight="1" x14ac:dyDescent="0.25"/>
  <cols>
    <col min="2" max="2" width="13.7109375" customWidth="1"/>
    <col min="4" max="4" width="14.42578125" customWidth="1"/>
    <col min="5" max="5" width="16.42578125" customWidth="1"/>
    <col min="7" max="7" width="13" customWidth="1"/>
    <col min="8" max="8" width="14.5703125" customWidth="1"/>
  </cols>
  <sheetData>
    <row r="1" spans="1:8" x14ac:dyDescent="0.25">
      <c r="A1" t="s">
        <v>43</v>
      </c>
      <c r="B1" t="s">
        <v>1</v>
      </c>
      <c r="C1" t="s">
        <v>52</v>
      </c>
      <c r="D1" t="s">
        <v>53</v>
      </c>
      <c r="E1" t="s">
        <v>54</v>
      </c>
      <c r="F1" t="s">
        <v>55</v>
      </c>
      <c r="G1" t="s">
        <v>56</v>
      </c>
      <c r="H1" s="10" t="s">
        <v>39</v>
      </c>
    </row>
    <row r="2" spans="1:8" x14ac:dyDescent="0.25">
      <c r="A2" s="31">
        <v>1</v>
      </c>
      <c r="B2" s="31" t="s">
        <v>48</v>
      </c>
      <c r="C2" s="31">
        <v>31</v>
      </c>
      <c r="D2" s="31">
        <v>34</v>
      </c>
      <c r="E2" s="31">
        <v>17</v>
      </c>
      <c r="F2" s="31">
        <v>27</v>
      </c>
      <c r="G2" s="31">
        <v>4</v>
      </c>
      <c r="H2" s="32">
        <v>5.8947368420000004</v>
      </c>
    </row>
    <row r="3" spans="1:8" x14ac:dyDescent="0.25">
      <c r="A3" s="31">
        <v>1</v>
      </c>
      <c r="B3" s="31" t="s">
        <v>49</v>
      </c>
      <c r="C3" s="31">
        <v>24</v>
      </c>
      <c r="D3" s="31">
        <v>26</v>
      </c>
      <c r="E3" s="31">
        <v>15</v>
      </c>
      <c r="F3" s="31">
        <v>40</v>
      </c>
      <c r="G3" s="31">
        <v>4</v>
      </c>
      <c r="H3" s="32">
        <v>5.5789473679999997</v>
      </c>
    </row>
    <row r="4" spans="1:8" x14ac:dyDescent="0.25">
      <c r="A4" s="31">
        <v>1</v>
      </c>
      <c r="B4" s="31" t="s">
        <v>50</v>
      </c>
      <c r="C4" s="31">
        <v>28</v>
      </c>
      <c r="D4" s="31">
        <v>30</v>
      </c>
      <c r="E4" s="31">
        <v>13</v>
      </c>
      <c r="F4" s="31">
        <v>78</v>
      </c>
      <c r="G4" s="31">
        <v>4</v>
      </c>
      <c r="H4" s="32">
        <v>5.9473684210000002</v>
      </c>
    </row>
    <row r="5" spans="1:8" x14ac:dyDescent="0.25">
      <c r="A5" s="31">
        <v>1</v>
      </c>
      <c r="B5" s="31" t="s">
        <v>51</v>
      </c>
      <c r="C5" s="31">
        <v>30</v>
      </c>
      <c r="D5" s="31">
        <v>33</v>
      </c>
      <c r="E5" s="31">
        <v>7</v>
      </c>
      <c r="F5" s="31">
        <v>44</v>
      </c>
      <c r="G5" s="31">
        <v>6</v>
      </c>
      <c r="H5" s="32">
        <v>6.1052631579999996</v>
      </c>
    </row>
    <row r="6" spans="1:8" x14ac:dyDescent="0.25">
      <c r="A6">
        <v>2</v>
      </c>
      <c r="B6" t="s">
        <v>48</v>
      </c>
      <c r="C6">
        <v>20</v>
      </c>
      <c r="D6">
        <v>23</v>
      </c>
      <c r="E6">
        <v>4</v>
      </c>
      <c r="F6">
        <v>25</v>
      </c>
      <c r="G6">
        <v>6</v>
      </c>
      <c r="H6" s="13">
        <v>6.0526315789999998</v>
      </c>
    </row>
    <row r="7" spans="1:8" x14ac:dyDescent="0.25">
      <c r="A7">
        <v>2</v>
      </c>
      <c r="B7" t="s">
        <v>49</v>
      </c>
      <c r="C7">
        <v>20</v>
      </c>
      <c r="D7">
        <v>22</v>
      </c>
      <c r="E7">
        <v>11</v>
      </c>
      <c r="F7">
        <v>24</v>
      </c>
      <c r="G7">
        <v>8</v>
      </c>
      <c r="H7" s="13">
        <v>5.5789473679999997</v>
      </c>
    </row>
    <row r="8" spans="1:8" x14ac:dyDescent="0.25">
      <c r="A8">
        <v>2</v>
      </c>
      <c r="B8" t="s">
        <v>50</v>
      </c>
      <c r="C8">
        <v>27</v>
      </c>
      <c r="D8">
        <v>29</v>
      </c>
      <c r="E8">
        <v>7</v>
      </c>
      <c r="F8">
        <v>29</v>
      </c>
      <c r="G8">
        <v>4</v>
      </c>
      <c r="H8" s="13">
        <v>5.263157895</v>
      </c>
    </row>
    <row r="9" spans="1:8" x14ac:dyDescent="0.25">
      <c r="A9">
        <v>2</v>
      </c>
      <c r="B9" t="s">
        <v>51</v>
      </c>
      <c r="C9">
        <v>20</v>
      </c>
      <c r="D9">
        <v>20</v>
      </c>
      <c r="E9">
        <v>3</v>
      </c>
      <c r="F9">
        <v>18</v>
      </c>
      <c r="G9">
        <v>6</v>
      </c>
      <c r="H9" s="13">
        <v>5.1052631579999996</v>
      </c>
    </row>
    <row r="10" spans="1:8" x14ac:dyDescent="0.25">
      <c r="A10" s="31">
        <v>3</v>
      </c>
      <c r="B10" s="31" t="s">
        <v>48</v>
      </c>
      <c r="C10" s="31">
        <v>31</v>
      </c>
      <c r="D10" s="31">
        <v>34</v>
      </c>
      <c r="E10" s="31">
        <v>1</v>
      </c>
      <c r="F10" s="31">
        <v>28</v>
      </c>
      <c r="G10" s="31">
        <v>4</v>
      </c>
      <c r="H10" s="32">
        <v>5.4736842110000001</v>
      </c>
    </row>
    <row r="11" spans="1:8" x14ac:dyDescent="0.25">
      <c r="A11" s="31">
        <v>3</v>
      </c>
      <c r="B11" s="31" t="s">
        <v>49</v>
      </c>
      <c r="C11" s="31">
        <v>26</v>
      </c>
      <c r="D11" s="31">
        <v>28</v>
      </c>
      <c r="E11" s="31">
        <v>3</v>
      </c>
      <c r="F11" s="31">
        <v>29</v>
      </c>
      <c r="G11" s="31">
        <v>6</v>
      </c>
      <c r="H11" s="32">
        <v>5.9473684210000002</v>
      </c>
    </row>
    <row r="12" spans="1:8" x14ac:dyDescent="0.25">
      <c r="A12" s="31">
        <v>3</v>
      </c>
      <c r="B12" s="31" t="s">
        <v>50</v>
      </c>
      <c r="C12" s="31">
        <v>30</v>
      </c>
      <c r="D12" s="31">
        <v>32</v>
      </c>
      <c r="E12" s="31">
        <v>1</v>
      </c>
      <c r="F12" s="31">
        <v>26</v>
      </c>
      <c r="G12" s="31">
        <v>2</v>
      </c>
      <c r="H12" s="32">
        <v>6.3157894739999998</v>
      </c>
    </row>
    <row r="13" spans="1:8" x14ac:dyDescent="0.25">
      <c r="A13" s="31">
        <v>3</v>
      </c>
      <c r="B13" s="31" t="s">
        <v>51</v>
      </c>
      <c r="C13" s="31">
        <v>35</v>
      </c>
      <c r="D13" s="31">
        <v>37</v>
      </c>
      <c r="E13" s="31">
        <v>1</v>
      </c>
      <c r="F13" s="31">
        <v>32</v>
      </c>
      <c r="G13" s="31">
        <v>2</v>
      </c>
      <c r="H13" s="32">
        <v>6.1052631579999996</v>
      </c>
    </row>
    <row r="14" spans="1:8" x14ac:dyDescent="0.25">
      <c r="A14">
        <v>6</v>
      </c>
      <c r="B14" t="s">
        <v>48</v>
      </c>
      <c r="C14">
        <v>43</v>
      </c>
      <c r="D14">
        <v>46</v>
      </c>
      <c r="E14">
        <v>12</v>
      </c>
      <c r="F14">
        <v>40</v>
      </c>
      <c r="G14">
        <v>2</v>
      </c>
      <c r="H14" s="13">
        <v>4.0526315789999998</v>
      </c>
    </row>
    <row r="15" spans="1:8" x14ac:dyDescent="0.25">
      <c r="A15">
        <v>6</v>
      </c>
      <c r="B15" t="s">
        <v>49</v>
      </c>
      <c r="C15">
        <v>31</v>
      </c>
      <c r="D15">
        <v>35</v>
      </c>
      <c r="E15">
        <v>9</v>
      </c>
      <c r="F15">
        <v>41</v>
      </c>
      <c r="G15">
        <v>4</v>
      </c>
      <c r="H15" s="13">
        <v>4.736842105</v>
      </c>
    </row>
    <row r="16" spans="1:8" x14ac:dyDescent="0.25">
      <c r="A16">
        <v>6</v>
      </c>
      <c r="B16" t="s">
        <v>50</v>
      </c>
      <c r="C16">
        <v>41</v>
      </c>
      <c r="D16">
        <v>45</v>
      </c>
      <c r="E16">
        <v>7</v>
      </c>
      <c r="F16">
        <v>52</v>
      </c>
      <c r="G16">
        <v>4</v>
      </c>
      <c r="H16" s="13">
        <v>5.263157895</v>
      </c>
    </row>
    <row r="17" spans="1:8" x14ac:dyDescent="0.25">
      <c r="A17">
        <v>6</v>
      </c>
      <c r="B17" t="s">
        <v>51</v>
      </c>
      <c r="C17">
        <v>38</v>
      </c>
      <c r="D17">
        <v>41</v>
      </c>
      <c r="E17">
        <v>3</v>
      </c>
      <c r="F17">
        <v>46</v>
      </c>
      <c r="G17">
        <v>4</v>
      </c>
      <c r="H17" s="13">
        <v>5.3684210529999996</v>
      </c>
    </row>
    <row r="18" spans="1:8" x14ac:dyDescent="0.25">
      <c r="A18" s="31">
        <v>7</v>
      </c>
      <c r="B18" s="31" t="s">
        <v>48</v>
      </c>
      <c r="C18" s="31">
        <v>29</v>
      </c>
      <c r="D18" s="31">
        <v>32</v>
      </c>
      <c r="E18" s="31">
        <v>9</v>
      </c>
      <c r="F18" s="31">
        <v>41</v>
      </c>
      <c r="G18" s="31">
        <v>4</v>
      </c>
      <c r="H18" s="32">
        <v>6.3684210529999996</v>
      </c>
    </row>
    <row r="19" spans="1:8" x14ac:dyDescent="0.25">
      <c r="A19" s="31">
        <v>7</v>
      </c>
      <c r="B19" s="31" t="s">
        <v>49</v>
      </c>
      <c r="C19" s="31">
        <v>43</v>
      </c>
      <c r="D19" s="31">
        <v>45</v>
      </c>
      <c r="E19" s="31">
        <v>7</v>
      </c>
      <c r="F19" s="31">
        <v>42</v>
      </c>
      <c r="G19" s="31">
        <v>2</v>
      </c>
      <c r="H19" s="32">
        <v>6.3684210529999996</v>
      </c>
    </row>
    <row r="20" spans="1:8" x14ac:dyDescent="0.25">
      <c r="A20" s="31">
        <v>7</v>
      </c>
      <c r="B20" s="31" t="s">
        <v>50</v>
      </c>
      <c r="C20" s="31">
        <v>34</v>
      </c>
      <c r="D20" s="31">
        <v>38</v>
      </c>
      <c r="E20" s="31">
        <v>10</v>
      </c>
      <c r="F20" s="31">
        <v>41</v>
      </c>
      <c r="G20" s="31">
        <v>4</v>
      </c>
      <c r="H20" s="32">
        <v>7</v>
      </c>
    </row>
    <row r="21" spans="1:8" x14ac:dyDescent="0.25">
      <c r="A21" s="31">
        <v>7</v>
      </c>
      <c r="B21" s="31" t="s">
        <v>51</v>
      </c>
      <c r="C21" s="31">
        <v>50</v>
      </c>
      <c r="D21" s="31">
        <v>52</v>
      </c>
      <c r="E21" s="31">
        <v>11</v>
      </c>
      <c r="F21" s="31">
        <v>47</v>
      </c>
      <c r="G21" s="31">
        <v>2</v>
      </c>
      <c r="H21" s="32">
        <v>6.263157895</v>
      </c>
    </row>
    <row r="22" spans="1:8" x14ac:dyDescent="0.25">
      <c r="A22">
        <v>8</v>
      </c>
      <c r="B22" t="s">
        <v>48</v>
      </c>
      <c r="C22">
        <v>36</v>
      </c>
      <c r="D22">
        <v>40</v>
      </c>
      <c r="E22">
        <v>1</v>
      </c>
      <c r="F22">
        <v>40</v>
      </c>
      <c r="G22">
        <v>4</v>
      </c>
      <c r="H22" s="13">
        <v>6.263157895</v>
      </c>
    </row>
    <row r="23" spans="1:8" x14ac:dyDescent="0.25">
      <c r="A23">
        <v>8</v>
      </c>
      <c r="B23" t="s">
        <v>49</v>
      </c>
      <c r="C23">
        <v>35</v>
      </c>
      <c r="D23">
        <v>38</v>
      </c>
      <c r="E23">
        <v>1</v>
      </c>
      <c r="F23">
        <v>41</v>
      </c>
      <c r="G23">
        <v>2</v>
      </c>
      <c r="H23" s="13">
        <v>6.1578947370000003</v>
      </c>
    </row>
    <row r="24" spans="1:8" x14ac:dyDescent="0.25">
      <c r="A24">
        <v>8</v>
      </c>
      <c r="B24" t="s">
        <v>50</v>
      </c>
      <c r="C24">
        <v>37</v>
      </c>
      <c r="D24">
        <v>39</v>
      </c>
      <c r="E24">
        <v>1</v>
      </c>
      <c r="F24">
        <v>40</v>
      </c>
      <c r="G24">
        <v>2</v>
      </c>
      <c r="H24" s="13">
        <v>6.1578947370000003</v>
      </c>
    </row>
    <row r="25" spans="1:8" x14ac:dyDescent="0.25">
      <c r="A25">
        <v>8</v>
      </c>
      <c r="B25" t="s">
        <v>51</v>
      </c>
      <c r="C25">
        <v>18</v>
      </c>
      <c r="D25">
        <v>20</v>
      </c>
      <c r="E25">
        <v>1</v>
      </c>
      <c r="F25">
        <v>22</v>
      </c>
      <c r="G25">
        <v>6</v>
      </c>
      <c r="H25" s="13">
        <v>5.5263157889999999</v>
      </c>
    </row>
    <row r="26" spans="1:8" x14ac:dyDescent="0.25">
      <c r="A26" s="31">
        <v>9</v>
      </c>
      <c r="B26" s="31" t="s">
        <v>48</v>
      </c>
      <c r="C26" s="31">
        <v>29</v>
      </c>
      <c r="D26" s="31">
        <v>31</v>
      </c>
      <c r="E26" s="31">
        <v>4</v>
      </c>
      <c r="F26" s="31">
        <v>35</v>
      </c>
      <c r="G26" s="31">
        <v>4</v>
      </c>
      <c r="H26" s="32">
        <v>6.2105263160000002</v>
      </c>
    </row>
    <row r="27" spans="1:8" x14ac:dyDescent="0.25">
      <c r="A27" s="31">
        <v>9</v>
      </c>
      <c r="B27" s="31" t="s">
        <v>49</v>
      </c>
      <c r="C27" s="31">
        <v>26</v>
      </c>
      <c r="D27" s="31">
        <v>26</v>
      </c>
      <c r="E27" s="31">
        <v>5</v>
      </c>
      <c r="F27" s="31">
        <v>27</v>
      </c>
      <c r="G27" s="31">
        <v>4</v>
      </c>
      <c r="H27" s="32">
        <v>6.3684210529999996</v>
      </c>
    </row>
    <row r="28" spans="1:8" x14ac:dyDescent="0.25">
      <c r="A28" s="31">
        <v>9</v>
      </c>
      <c r="B28" s="31" t="s">
        <v>50</v>
      </c>
      <c r="C28" s="31">
        <v>32</v>
      </c>
      <c r="D28" s="31">
        <v>34</v>
      </c>
      <c r="E28" s="31">
        <v>6</v>
      </c>
      <c r="F28" s="31">
        <v>34</v>
      </c>
      <c r="G28" s="31">
        <v>2</v>
      </c>
      <c r="H28" s="32">
        <v>6.5789473679999997</v>
      </c>
    </row>
    <row r="29" spans="1:8" x14ac:dyDescent="0.25">
      <c r="A29" s="31">
        <v>9</v>
      </c>
      <c r="B29" s="31" t="s">
        <v>51</v>
      </c>
      <c r="C29" s="31">
        <v>24</v>
      </c>
      <c r="D29" s="31">
        <v>27</v>
      </c>
      <c r="E29" s="31">
        <v>13</v>
      </c>
      <c r="F29" s="31">
        <v>48</v>
      </c>
      <c r="G29" s="31">
        <v>6</v>
      </c>
      <c r="H29" s="32">
        <v>6.263157895</v>
      </c>
    </row>
    <row r="30" spans="1:8" x14ac:dyDescent="0.25">
      <c r="A30">
        <v>10</v>
      </c>
      <c r="B30" t="s">
        <v>48</v>
      </c>
      <c r="C30">
        <v>36</v>
      </c>
      <c r="D30">
        <v>39</v>
      </c>
      <c r="E30">
        <v>0</v>
      </c>
      <c r="F30">
        <v>31</v>
      </c>
      <c r="G30">
        <v>2</v>
      </c>
      <c r="H30" s="13">
        <v>5.263157895</v>
      </c>
    </row>
    <row r="31" spans="1:8" x14ac:dyDescent="0.25">
      <c r="A31">
        <v>10</v>
      </c>
      <c r="B31" t="s">
        <v>49</v>
      </c>
      <c r="C31">
        <v>51</v>
      </c>
      <c r="D31">
        <v>54</v>
      </c>
      <c r="E31">
        <v>3</v>
      </c>
      <c r="F31">
        <v>46</v>
      </c>
      <c r="G31">
        <v>2</v>
      </c>
      <c r="H31" s="13">
        <v>5.3684210529999996</v>
      </c>
    </row>
    <row r="32" spans="1:8" x14ac:dyDescent="0.25">
      <c r="A32">
        <v>10</v>
      </c>
      <c r="B32" t="s">
        <v>50</v>
      </c>
      <c r="C32">
        <v>39</v>
      </c>
      <c r="D32">
        <v>41</v>
      </c>
      <c r="E32">
        <v>1</v>
      </c>
      <c r="F32">
        <v>39</v>
      </c>
      <c r="G32">
        <v>4</v>
      </c>
      <c r="H32" s="13">
        <v>5.4210526320000003</v>
      </c>
    </row>
    <row r="33" spans="1:8" x14ac:dyDescent="0.25">
      <c r="A33">
        <v>10</v>
      </c>
      <c r="B33" t="s">
        <v>51</v>
      </c>
      <c r="C33">
        <v>25</v>
      </c>
      <c r="D33">
        <v>29</v>
      </c>
      <c r="E33">
        <v>2</v>
      </c>
      <c r="F33">
        <v>27</v>
      </c>
      <c r="G33">
        <v>6</v>
      </c>
      <c r="H33" s="13">
        <v>5.6315789470000004</v>
      </c>
    </row>
    <row r="34" spans="1:8" x14ac:dyDescent="0.25">
      <c r="A34" s="31">
        <v>11</v>
      </c>
      <c r="B34" s="31" t="s">
        <v>48</v>
      </c>
      <c r="C34" s="31">
        <v>43</v>
      </c>
      <c r="D34" s="31">
        <v>46</v>
      </c>
      <c r="E34" s="31">
        <v>2</v>
      </c>
      <c r="F34" s="31">
        <v>32</v>
      </c>
      <c r="G34" s="31">
        <v>2</v>
      </c>
      <c r="H34" s="32">
        <v>5.4736842110000001</v>
      </c>
    </row>
    <row r="35" spans="1:8" x14ac:dyDescent="0.25">
      <c r="A35" s="31">
        <v>11</v>
      </c>
      <c r="B35" s="31" t="s">
        <v>49</v>
      </c>
      <c r="C35" s="31">
        <v>43</v>
      </c>
      <c r="D35" s="31">
        <v>46</v>
      </c>
      <c r="E35" s="31">
        <v>1</v>
      </c>
      <c r="F35" s="31">
        <v>42</v>
      </c>
      <c r="G35" s="31">
        <v>2</v>
      </c>
      <c r="H35" s="32">
        <v>5.5263157889999999</v>
      </c>
    </row>
    <row r="36" spans="1:8" x14ac:dyDescent="0.25">
      <c r="A36" s="31">
        <v>11</v>
      </c>
      <c r="B36" s="31" t="s">
        <v>50</v>
      </c>
      <c r="C36" s="31">
        <v>36</v>
      </c>
      <c r="D36" s="31">
        <v>40</v>
      </c>
      <c r="E36" s="31">
        <v>0</v>
      </c>
      <c r="F36" s="31">
        <v>30</v>
      </c>
      <c r="G36" s="31">
        <v>4</v>
      </c>
      <c r="H36" s="32">
        <v>5.736842105</v>
      </c>
    </row>
    <row r="37" spans="1:8" x14ac:dyDescent="0.25">
      <c r="A37" s="31">
        <v>11</v>
      </c>
      <c r="B37" s="31" t="s">
        <v>51</v>
      </c>
      <c r="C37" s="31">
        <v>40</v>
      </c>
      <c r="D37" s="31">
        <v>42</v>
      </c>
      <c r="E37" s="31">
        <v>5</v>
      </c>
      <c r="F37" s="31">
        <v>44</v>
      </c>
      <c r="G37" s="31">
        <v>2</v>
      </c>
      <c r="H37" s="32">
        <v>6.1578947370000003</v>
      </c>
    </row>
    <row r="38" spans="1:8" x14ac:dyDescent="0.25">
      <c r="A38">
        <v>12</v>
      </c>
      <c r="B38" t="s">
        <v>48</v>
      </c>
      <c r="C38">
        <v>32</v>
      </c>
      <c r="D38">
        <v>36</v>
      </c>
      <c r="E38">
        <v>1</v>
      </c>
      <c r="F38">
        <v>40</v>
      </c>
      <c r="G38">
        <v>4</v>
      </c>
      <c r="H38" s="13">
        <v>6.1052631579999996</v>
      </c>
    </row>
    <row r="39" spans="1:8" x14ac:dyDescent="0.25">
      <c r="A39">
        <v>12</v>
      </c>
      <c r="B39" t="s">
        <v>49</v>
      </c>
      <c r="C39">
        <v>39</v>
      </c>
      <c r="D39">
        <v>41</v>
      </c>
      <c r="E39">
        <v>3</v>
      </c>
      <c r="F39">
        <v>48</v>
      </c>
      <c r="G39">
        <v>2</v>
      </c>
      <c r="H39" s="13">
        <v>6.1578947370000003</v>
      </c>
    </row>
    <row r="40" spans="1:8" x14ac:dyDescent="0.25">
      <c r="A40">
        <v>12</v>
      </c>
      <c r="B40" t="s">
        <v>50</v>
      </c>
      <c r="C40">
        <v>33</v>
      </c>
      <c r="D40">
        <v>36</v>
      </c>
      <c r="E40">
        <v>2</v>
      </c>
      <c r="F40">
        <v>39</v>
      </c>
      <c r="G40">
        <v>4</v>
      </c>
      <c r="H40" s="13">
        <v>6.2105263160000002</v>
      </c>
    </row>
    <row r="41" spans="1:8" x14ac:dyDescent="0.25">
      <c r="A41">
        <v>12</v>
      </c>
      <c r="B41" t="s">
        <v>51</v>
      </c>
      <c r="C41">
        <v>42</v>
      </c>
      <c r="D41">
        <v>44</v>
      </c>
      <c r="E41">
        <v>0</v>
      </c>
      <c r="F41">
        <v>45</v>
      </c>
      <c r="G41">
        <v>4</v>
      </c>
      <c r="H41" s="13">
        <v>6.3684210529999996</v>
      </c>
    </row>
    <row r="42" spans="1:8" x14ac:dyDescent="0.25">
      <c r="A42" s="31">
        <v>13</v>
      </c>
      <c r="B42" s="31" t="s">
        <v>48</v>
      </c>
      <c r="C42" s="31">
        <v>18</v>
      </c>
      <c r="D42" s="31">
        <v>19</v>
      </c>
      <c r="E42" s="31">
        <v>11</v>
      </c>
      <c r="F42" s="31">
        <v>38</v>
      </c>
      <c r="G42" s="31">
        <v>8</v>
      </c>
      <c r="H42" s="32">
        <v>6.4736842110000001</v>
      </c>
    </row>
    <row r="43" spans="1:8" x14ac:dyDescent="0.25">
      <c r="A43" s="31">
        <v>13</v>
      </c>
      <c r="B43" s="31" t="s">
        <v>49</v>
      </c>
      <c r="C43" s="31">
        <v>17</v>
      </c>
      <c r="D43" s="31">
        <v>20</v>
      </c>
      <c r="E43" s="31">
        <v>17</v>
      </c>
      <c r="F43" s="31">
        <v>82</v>
      </c>
      <c r="G43" s="31">
        <v>8</v>
      </c>
      <c r="H43" s="32">
        <v>6</v>
      </c>
    </row>
    <row r="44" spans="1:8" x14ac:dyDescent="0.25">
      <c r="A44" s="31">
        <v>13</v>
      </c>
      <c r="B44" s="31" t="s">
        <v>50</v>
      </c>
      <c r="C44" s="31">
        <v>18</v>
      </c>
      <c r="D44" s="31">
        <v>17</v>
      </c>
      <c r="E44" s="31">
        <v>14</v>
      </c>
      <c r="F44" s="31">
        <v>88</v>
      </c>
      <c r="G44" s="31">
        <v>10</v>
      </c>
      <c r="H44" s="32">
        <v>6.736842105</v>
      </c>
    </row>
    <row r="45" spans="1:8" x14ac:dyDescent="0.25">
      <c r="A45" s="31">
        <v>13</v>
      </c>
      <c r="B45" s="31" t="s">
        <v>51</v>
      </c>
      <c r="C45" s="31">
        <v>12</v>
      </c>
      <c r="D45" s="31">
        <v>9</v>
      </c>
      <c r="E45" s="31">
        <v>14</v>
      </c>
      <c r="F45" s="31">
        <v>102</v>
      </c>
      <c r="G45" s="31">
        <v>16</v>
      </c>
      <c r="H45" s="32">
        <v>6.4210526320000003</v>
      </c>
    </row>
    <row r="46" spans="1:8" x14ac:dyDescent="0.25">
      <c r="A46">
        <v>14</v>
      </c>
      <c r="B46" t="s">
        <v>48</v>
      </c>
      <c r="C46">
        <v>25</v>
      </c>
      <c r="D46">
        <v>26</v>
      </c>
      <c r="E46">
        <v>16</v>
      </c>
      <c r="F46">
        <v>68</v>
      </c>
      <c r="G46">
        <v>6</v>
      </c>
      <c r="H46" s="13">
        <v>5.3684210529999996</v>
      </c>
    </row>
    <row r="47" spans="1:8" x14ac:dyDescent="0.25">
      <c r="A47">
        <v>14</v>
      </c>
      <c r="B47" t="s">
        <v>49</v>
      </c>
      <c r="C47">
        <v>24</v>
      </c>
      <c r="D47">
        <v>27</v>
      </c>
      <c r="E47">
        <v>42</v>
      </c>
      <c r="F47">
        <v>86</v>
      </c>
      <c r="G47">
        <v>4</v>
      </c>
      <c r="H47" s="13">
        <v>5.3157894739999998</v>
      </c>
    </row>
    <row r="48" spans="1:8" x14ac:dyDescent="0.25">
      <c r="A48">
        <v>14</v>
      </c>
      <c r="B48" t="s">
        <v>50</v>
      </c>
      <c r="C48">
        <v>16</v>
      </c>
      <c r="D48">
        <v>17</v>
      </c>
      <c r="E48">
        <v>23</v>
      </c>
      <c r="F48">
        <v>47</v>
      </c>
      <c r="G48">
        <v>10</v>
      </c>
      <c r="H48" s="13">
        <v>6.2105263160000002</v>
      </c>
    </row>
    <row r="49" spans="1:8" x14ac:dyDescent="0.25">
      <c r="A49">
        <v>14</v>
      </c>
      <c r="B49" t="s">
        <v>51</v>
      </c>
      <c r="C49">
        <v>23</v>
      </c>
      <c r="D49">
        <v>26</v>
      </c>
      <c r="E49">
        <v>31</v>
      </c>
      <c r="F49">
        <v>53</v>
      </c>
      <c r="G49">
        <v>4</v>
      </c>
      <c r="H49" s="13">
        <v>6.2105263160000002</v>
      </c>
    </row>
    <row r="50" spans="1:8" x14ac:dyDescent="0.25">
      <c r="A50" s="31">
        <v>15</v>
      </c>
      <c r="B50" s="31" t="s">
        <v>48</v>
      </c>
      <c r="C50" s="31">
        <v>34</v>
      </c>
      <c r="D50" s="31">
        <v>37</v>
      </c>
      <c r="E50" s="31">
        <v>2</v>
      </c>
      <c r="F50" s="31">
        <v>38</v>
      </c>
      <c r="G50" s="31">
        <v>4</v>
      </c>
      <c r="H50" s="32">
        <v>5.8421052629999997</v>
      </c>
    </row>
    <row r="51" spans="1:8" x14ac:dyDescent="0.25">
      <c r="A51" s="31">
        <v>15</v>
      </c>
      <c r="B51" s="31" t="s">
        <v>49</v>
      </c>
      <c r="C51" s="31">
        <v>29</v>
      </c>
      <c r="D51" s="31">
        <v>32</v>
      </c>
      <c r="E51" s="31">
        <v>0</v>
      </c>
      <c r="F51" s="31">
        <v>29</v>
      </c>
      <c r="G51" s="31">
        <v>4</v>
      </c>
      <c r="H51" s="32">
        <v>6.1578947370000003</v>
      </c>
    </row>
    <row r="52" spans="1:8" x14ac:dyDescent="0.25">
      <c r="A52" s="31">
        <v>15</v>
      </c>
      <c r="B52" s="31" t="s">
        <v>50</v>
      </c>
      <c r="C52" s="31">
        <v>29</v>
      </c>
      <c r="D52" s="31">
        <v>33</v>
      </c>
      <c r="E52" s="31">
        <v>4</v>
      </c>
      <c r="F52" s="31">
        <v>32</v>
      </c>
      <c r="G52" s="31">
        <v>4</v>
      </c>
      <c r="H52" s="32">
        <v>6.1578947370000003</v>
      </c>
    </row>
    <row r="53" spans="1:8" x14ac:dyDescent="0.25">
      <c r="A53" s="31">
        <v>15</v>
      </c>
      <c r="B53" s="31" t="s">
        <v>51</v>
      </c>
      <c r="C53" s="31">
        <v>29</v>
      </c>
      <c r="D53" s="31">
        <v>33</v>
      </c>
      <c r="E53" s="31">
        <v>8</v>
      </c>
      <c r="F53" s="31">
        <v>23</v>
      </c>
      <c r="G53" s="31">
        <v>4</v>
      </c>
      <c r="H53" s="32">
        <v>6.3684210529999996</v>
      </c>
    </row>
    <row r="54" spans="1:8" x14ac:dyDescent="0.25">
      <c r="A54">
        <v>16</v>
      </c>
      <c r="B54" t="s">
        <v>48</v>
      </c>
      <c r="C54">
        <v>22</v>
      </c>
      <c r="D54">
        <v>24</v>
      </c>
      <c r="E54">
        <v>3</v>
      </c>
      <c r="F54">
        <v>57</v>
      </c>
      <c r="G54">
        <v>4</v>
      </c>
      <c r="H54" s="13">
        <v>6.1578947370000003</v>
      </c>
    </row>
    <row r="55" spans="1:8" x14ac:dyDescent="0.25">
      <c r="A55">
        <v>16</v>
      </c>
      <c r="B55" t="s">
        <v>49</v>
      </c>
      <c r="C55">
        <v>20</v>
      </c>
      <c r="D55">
        <v>23</v>
      </c>
      <c r="E55">
        <v>6</v>
      </c>
      <c r="F55">
        <v>34</v>
      </c>
      <c r="G55">
        <v>4</v>
      </c>
      <c r="H55" s="13">
        <v>5.9473684210000002</v>
      </c>
    </row>
    <row r="56" spans="1:8" x14ac:dyDescent="0.25">
      <c r="A56">
        <v>16</v>
      </c>
      <c r="B56" t="s">
        <v>50</v>
      </c>
      <c r="C56">
        <v>35</v>
      </c>
      <c r="D56">
        <v>38</v>
      </c>
      <c r="E56">
        <v>3</v>
      </c>
      <c r="F56">
        <v>50</v>
      </c>
      <c r="G56">
        <v>4</v>
      </c>
      <c r="H56" s="13">
        <v>6.6315789470000004</v>
      </c>
    </row>
    <row r="57" spans="1:8" x14ac:dyDescent="0.25">
      <c r="A57">
        <v>16</v>
      </c>
      <c r="B57" t="s">
        <v>51</v>
      </c>
      <c r="C57">
        <v>28</v>
      </c>
      <c r="D57">
        <v>32</v>
      </c>
      <c r="E57">
        <v>2</v>
      </c>
      <c r="F57">
        <v>40</v>
      </c>
      <c r="G57">
        <v>4</v>
      </c>
      <c r="H57" s="13">
        <v>6.736842105</v>
      </c>
    </row>
    <row r="58" spans="1:8" x14ac:dyDescent="0.25">
      <c r="A58" s="31">
        <v>17</v>
      </c>
      <c r="B58" s="31" t="s">
        <v>48</v>
      </c>
      <c r="C58" s="31">
        <v>32</v>
      </c>
      <c r="D58" s="31">
        <v>35</v>
      </c>
      <c r="E58" s="31">
        <v>4</v>
      </c>
      <c r="F58" s="31">
        <v>47</v>
      </c>
      <c r="G58" s="31">
        <v>4</v>
      </c>
      <c r="H58" s="32">
        <v>5</v>
      </c>
    </row>
    <row r="59" spans="1:8" x14ac:dyDescent="0.25">
      <c r="A59" s="31">
        <v>17</v>
      </c>
      <c r="B59" s="31" t="s">
        <v>49</v>
      </c>
      <c r="C59" s="31">
        <v>37</v>
      </c>
      <c r="D59" s="31">
        <v>41</v>
      </c>
      <c r="E59" s="31">
        <v>3</v>
      </c>
      <c r="F59" s="31">
        <v>40</v>
      </c>
      <c r="G59" s="31">
        <v>4</v>
      </c>
      <c r="H59" s="32">
        <v>5.1052631579999996</v>
      </c>
    </row>
    <row r="60" spans="1:8" x14ac:dyDescent="0.25">
      <c r="A60" s="31">
        <v>17</v>
      </c>
      <c r="B60" s="31" t="s">
        <v>50</v>
      </c>
      <c r="C60" s="31">
        <v>28</v>
      </c>
      <c r="D60" s="31">
        <v>30</v>
      </c>
      <c r="E60" s="31">
        <v>9</v>
      </c>
      <c r="F60" s="31">
        <v>56</v>
      </c>
      <c r="G60" s="31">
        <v>2</v>
      </c>
      <c r="H60" s="32">
        <v>6.2105263160000002</v>
      </c>
    </row>
    <row r="61" spans="1:8" x14ac:dyDescent="0.25">
      <c r="A61" s="31">
        <v>17</v>
      </c>
      <c r="B61" s="31" t="s">
        <v>51</v>
      </c>
      <c r="C61" s="31">
        <v>30</v>
      </c>
      <c r="D61" s="31">
        <v>32</v>
      </c>
      <c r="E61" s="31">
        <v>23</v>
      </c>
      <c r="F61" s="31">
        <v>47</v>
      </c>
      <c r="G61" s="31">
        <v>2</v>
      </c>
      <c r="H61" s="32">
        <v>5.3684210529999996</v>
      </c>
    </row>
    <row r="62" spans="1:8" x14ac:dyDescent="0.25">
      <c r="A62">
        <v>18</v>
      </c>
      <c r="B62" t="s">
        <v>48</v>
      </c>
      <c r="C62">
        <v>17</v>
      </c>
      <c r="D62">
        <v>19</v>
      </c>
      <c r="E62">
        <v>22</v>
      </c>
      <c r="F62">
        <v>87</v>
      </c>
      <c r="G62">
        <v>8</v>
      </c>
      <c r="H62" s="13">
        <v>6.4736842110000001</v>
      </c>
    </row>
    <row r="63" spans="1:8" x14ac:dyDescent="0.25">
      <c r="A63">
        <v>18</v>
      </c>
      <c r="B63" t="s">
        <v>49</v>
      </c>
      <c r="C63">
        <v>22</v>
      </c>
      <c r="D63">
        <v>23</v>
      </c>
      <c r="E63">
        <v>30</v>
      </c>
      <c r="F63">
        <v>122</v>
      </c>
      <c r="G63">
        <v>6</v>
      </c>
      <c r="H63" s="13">
        <v>6.3684210529999996</v>
      </c>
    </row>
    <row r="64" spans="1:8" x14ac:dyDescent="0.25">
      <c r="A64">
        <v>18</v>
      </c>
      <c r="B64" t="s">
        <v>50</v>
      </c>
      <c r="C64">
        <v>21</v>
      </c>
      <c r="D64">
        <v>22</v>
      </c>
      <c r="E64">
        <v>4</v>
      </c>
      <c r="F64">
        <v>69</v>
      </c>
      <c r="G64">
        <v>6</v>
      </c>
      <c r="H64" s="13">
        <v>5.5789473679999997</v>
      </c>
    </row>
    <row r="65" spans="1:8" x14ac:dyDescent="0.25">
      <c r="A65">
        <v>18</v>
      </c>
      <c r="B65" t="s">
        <v>51</v>
      </c>
      <c r="C65">
        <v>27</v>
      </c>
      <c r="D65">
        <v>28</v>
      </c>
      <c r="E65">
        <v>10</v>
      </c>
      <c r="F65">
        <v>81</v>
      </c>
      <c r="G65">
        <v>2</v>
      </c>
      <c r="H65" s="13">
        <v>6.263157895</v>
      </c>
    </row>
    <row r="66" spans="1:8" x14ac:dyDescent="0.25"/>
    <row r="67" spans="1:8" x14ac:dyDescent="0.25"/>
    <row r="68" spans="1:8" x14ac:dyDescent="0.25"/>
    <row r="69" spans="1:8" x14ac:dyDescent="0.25"/>
    <row r="70" spans="1:8" x14ac:dyDescent="0.25"/>
    <row r="71" spans="1:8" x14ac:dyDescent="0.25"/>
    <row r="72" spans="1:8" x14ac:dyDescent="0.25"/>
    <row r="73" spans="1:8" x14ac:dyDescent="0.25"/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 r:id="rId1"/>
  <headerFooter>
    <oddHeader>&amp;C&amp;"Times New Roman,Regular"&amp;12&amp;Kffffff&amp;A</oddHeader>
    <oddFooter>&amp;C&amp;"Times New Roman,Regular"&amp;12&amp;KffffffPage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12959-3E70-48FC-A7A6-E1797CB20FE6}">
  <dimension ref="A1:K73"/>
  <sheetViews>
    <sheetView tabSelected="1" workbookViewId="0">
      <selection activeCell="K8" sqref="K8"/>
    </sheetView>
  </sheetViews>
  <sheetFormatPr defaultRowHeight="15" x14ac:dyDescent="0.25"/>
  <cols>
    <col min="2" max="4" width="13.7109375" customWidth="1"/>
    <col min="5" max="5" width="11.5703125" style="33"/>
    <col min="6" max="6" width="8.85546875" style="33" customWidth="1"/>
    <col min="7" max="7" width="10.85546875" style="33" customWidth="1"/>
    <col min="8" max="8" width="8.85546875" style="33" customWidth="1"/>
  </cols>
  <sheetData>
    <row r="1" spans="1:11" x14ac:dyDescent="0.25">
      <c r="A1" t="s">
        <v>43</v>
      </c>
      <c r="B1" t="s">
        <v>1</v>
      </c>
      <c r="C1" t="s">
        <v>57</v>
      </c>
      <c r="D1" t="s">
        <v>59</v>
      </c>
      <c r="E1" s="2" t="s">
        <v>4</v>
      </c>
      <c r="F1" s="2" t="s">
        <v>5</v>
      </c>
      <c r="G1" s="2" t="s">
        <v>6</v>
      </c>
      <c r="H1" s="2" t="s">
        <v>10</v>
      </c>
    </row>
    <row r="2" spans="1:11" x14ac:dyDescent="0.25">
      <c r="A2" s="31">
        <v>1</v>
      </c>
      <c r="B2" s="31" t="s">
        <v>48</v>
      </c>
      <c r="C2" s="34" t="s">
        <v>61</v>
      </c>
      <c r="D2" s="34" t="s">
        <v>61</v>
      </c>
      <c r="E2" s="3">
        <v>3</v>
      </c>
      <c r="F2" s="3">
        <v>2.5</v>
      </c>
      <c r="G2" s="3">
        <v>-0.5</v>
      </c>
      <c r="H2" s="3">
        <v>0.34992710611188299</v>
      </c>
      <c r="J2" t="s">
        <v>62</v>
      </c>
      <c r="K2" t="s">
        <v>63</v>
      </c>
    </row>
    <row r="3" spans="1:11" x14ac:dyDescent="0.25">
      <c r="A3" s="31">
        <v>1</v>
      </c>
      <c r="B3" s="31" t="s">
        <v>49</v>
      </c>
      <c r="C3" s="34" t="s">
        <v>60</v>
      </c>
      <c r="D3" s="34" t="s">
        <v>60</v>
      </c>
      <c r="E3" s="3">
        <v>3</v>
      </c>
      <c r="F3" s="3">
        <v>2</v>
      </c>
      <c r="G3" s="3">
        <v>-1</v>
      </c>
      <c r="H3" s="3">
        <v>-0.52489065916782396</v>
      </c>
      <c r="J3" t="s">
        <v>64</v>
      </c>
      <c r="K3" t="s">
        <v>66</v>
      </c>
    </row>
    <row r="4" spans="1:11" x14ac:dyDescent="0.25">
      <c r="A4" s="31">
        <v>1</v>
      </c>
      <c r="B4" s="31" t="s">
        <v>50</v>
      </c>
      <c r="C4" s="34" t="s">
        <v>58</v>
      </c>
      <c r="D4" s="34" t="s">
        <v>60</v>
      </c>
      <c r="E4" s="3">
        <v>3</v>
      </c>
      <c r="F4" s="3">
        <v>3</v>
      </c>
      <c r="G4" s="3">
        <v>0</v>
      </c>
      <c r="H4" s="3">
        <v>1.2247448713915901</v>
      </c>
      <c r="J4" t="s">
        <v>65</v>
      </c>
    </row>
    <row r="5" spans="1:11" x14ac:dyDescent="0.25">
      <c r="A5" s="31">
        <v>1</v>
      </c>
      <c r="B5" s="31" t="s">
        <v>51</v>
      </c>
      <c r="C5" s="34" t="s">
        <v>61</v>
      </c>
      <c r="D5" s="34" t="s">
        <v>61</v>
      </c>
      <c r="E5" s="3">
        <v>3</v>
      </c>
      <c r="F5" s="3">
        <v>1.7</v>
      </c>
      <c r="G5" s="3">
        <v>-1.3</v>
      </c>
      <c r="H5" s="3">
        <v>-1.0497813183356499</v>
      </c>
    </row>
    <row r="6" spans="1:11" x14ac:dyDescent="0.25">
      <c r="A6">
        <v>2</v>
      </c>
      <c r="B6" t="s">
        <v>48</v>
      </c>
      <c r="C6" s="33" t="s">
        <v>60</v>
      </c>
      <c r="D6" s="33" t="s">
        <v>60</v>
      </c>
      <c r="E6" s="2">
        <v>4</v>
      </c>
      <c r="F6" s="2">
        <v>2</v>
      </c>
      <c r="G6" s="2">
        <v>-2</v>
      </c>
      <c r="H6" s="2">
        <v>-0.5</v>
      </c>
    </row>
    <row r="7" spans="1:11" x14ac:dyDescent="0.25">
      <c r="A7">
        <v>2</v>
      </c>
      <c r="B7" t="s">
        <v>49</v>
      </c>
      <c r="C7" s="33" t="s">
        <v>58</v>
      </c>
      <c r="D7" s="33" t="s">
        <v>61</v>
      </c>
      <c r="E7" s="2">
        <v>4</v>
      </c>
      <c r="F7" s="2">
        <v>3</v>
      </c>
      <c r="G7" s="2">
        <v>-1</v>
      </c>
      <c r="H7" s="2">
        <v>1.5</v>
      </c>
    </row>
    <row r="8" spans="1:11" x14ac:dyDescent="0.25">
      <c r="A8">
        <v>2</v>
      </c>
      <c r="B8" t="s">
        <v>50</v>
      </c>
      <c r="C8" s="33" t="s">
        <v>58</v>
      </c>
      <c r="D8" s="33" t="s">
        <v>60</v>
      </c>
      <c r="E8" s="2">
        <v>4</v>
      </c>
      <c r="F8" s="2">
        <v>2</v>
      </c>
      <c r="G8" s="2">
        <v>-2</v>
      </c>
      <c r="H8" s="2">
        <v>-0.5</v>
      </c>
    </row>
    <row r="9" spans="1:11" x14ac:dyDescent="0.25">
      <c r="A9">
        <v>2</v>
      </c>
      <c r="B9" t="s">
        <v>51</v>
      </c>
      <c r="C9" t="s">
        <v>58</v>
      </c>
      <c r="D9" t="s">
        <v>60</v>
      </c>
      <c r="E9" s="29">
        <v>4</v>
      </c>
      <c r="F9" s="29">
        <v>2</v>
      </c>
      <c r="G9" s="29">
        <v>-2</v>
      </c>
      <c r="H9" s="29">
        <v>-0.5</v>
      </c>
    </row>
    <row r="10" spans="1:11" x14ac:dyDescent="0.25">
      <c r="A10" s="31">
        <v>3</v>
      </c>
      <c r="B10" s="31" t="s">
        <v>48</v>
      </c>
      <c r="C10" s="34" t="s">
        <v>61</v>
      </c>
      <c r="D10" s="34" t="s">
        <v>61</v>
      </c>
      <c r="E10" s="3">
        <v>0.8</v>
      </c>
      <c r="F10" s="3">
        <v>5</v>
      </c>
      <c r="G10" s="3">
        <v>4.2</v>
      </c>
      <c r="H10" s="3">
        <v>1.4433756729740601</v>
      </c>
    </row>
    <row r="11" spans="1:11" x14ac:dyDescent="0.25">
      <c r="A11" s="31">
        <v>3</v>
      </c>
      <c r="B11" s="31" t="s">
        <v>49</v>
      </c>
      <c r="C11" s="34" t="s">
        <v>61</v>
      </c>
      <c r="D11" s="34" t="s">
        <v>61</v>
      </c>
      <c r="E11" s="3">
        <v>0.8</v>
      </c>
      <c r="F11" s="3">
        <v>2</v>
      </c>
      <c r="G11" s="3">
        <v>1.2</v>
      </c>
      <c r="H11" s="3">
        <v>-0.28867513459481298</v>
      </c>
    </row>
    <row r="12" spans="1:11" x14ac:dyDescent="0.25">
      <c r="A12" s="31">
        <v>3</v>
      </c>
      <c r="B12" s="31" t="s">
        <v>50</v>
      </c>
      <c r="C12" s="34" t="s">
        <v>60</v>
      </c>
      <c r="D12" s="34" t="s">
        <v>60</v>
      </c>
      <c r="E12" s="3">
        <v>0.8</v>
      </c>
      <c r="F12" s="3">
        <v>1</v>
      </c>
      <c r="G12" s="3">
        <v>0.2</v>
      </c>
      <c r="H12" s="3">
        <v>-0.86602540378443904</v>
      </c>
    </row>
    <row r="13" spans="1:11" x14ac:dyDescent="0.25">
      <c r="A13" s="31">
        <v>3</v>
      </c>
      <c r="B13" s="31" t="s">
        <v>51</v>
      </c>
      <c r="C13" s="34" t="s">
        <v>60</v>
      </c>
      <c r="D13" s="34" t="s">
        <v>60</v>
      </c>
      <c r="E13" s="3">
        <v>0.8</v>
      </c>
      <c r="F13" s="3">
        <v>2</v>
      </c>
      <c r="G13" s="3">
        <v>1.2</v>
      </c>
      <c r="H13" s="3">
        <v>-0.28867513459481298</v>
      </c>
    </row>
    <row r="14" spans="1:11" x14ac:dyDescent="0.25">
      <c r="A14">
        <v>6</v>
      </c>
      <c r="B14" t="s">
        <v>48</v>
      </c>
      <c r="C14" s="33" t="s">
        <v>61</v>
      </c>
      <c r="D14" s="33" t="s">
        <v>61</v>
      </c>
      <c r="E14" s="2">
        <v>2.5</v>
      </c>
      <c r="F14" s="2">
        <v>4</v>
      </c>
      <c r="G14" s="2">
        <v>1.5</v>
      </c>
      <c r="H14" s="2">
        <v>1.3228756555323</v>
      </c>
    </row>
    <row r="15" spans="1:11" x14ac:dyDescent="0.25">
      <c r="A15">
        <v>6</v>
      </c>
      <c r="B15" t="s">
        <v>49</v>
      </c>
      <c r="C15" s="33" t="s">
        <v>60</v>
      </c>
      <c r="D15" s="33" t="s">
        <v>60</v>
      </c>
      <c r="E15" s="2">
        <v>2.5</v>
      </c>
      <c r="F15" s="2">
        <v>1</v>
      </c>
      <c r="G15" s="2">
        <v>-1.5</v>
      </c>
      <c r="H15" s="2">
        <v>-0.94491118252306805</v>
      </c>
    </row>
    <row r="16" spans="1:11" x14ac:dyDescent="0.25">
      <c r="A16">
        <v>6</v>
      </c>
      <c r="B16" t="s">
        <v>50</v>
      </c>
      <c r="C16" s="33" t="s">
        <v>61</v>
      </c>
      <c r="D16" s="33" t="s">
        <v>61</v>
      </c>
      <c r="E16" s="2">
        <v>2.5</v>
      </c>
      <c r="F16" s="2">
        <v>2.5</v>
      </c>
      <c r="G16" s="2">
        <v>0</v>
      </c>
      <c r="H16" s="2">
        <v>0.18898223650461399</v>
      </c>
    </row>
    <row r="17" spans="1:10" x14ac:dyDescent="0.25">
      <c r="A17">
        <v>6</v>
      </c>
      <c r="B17" t="s">
        <v>51</v>
      </c>
      <c r="C17" s="33" t="s">
        <v>60</v>
      </c>
      <c r="D17" s="33" t="s">
        <v>60</v>
      </c>
      <c r="E17" s="29">
        <v>2.5</v>
      </c>
      <c r="F17" s="29">
        <v>1.5</v>
      </c>
      <c r="G17" s="29">
        <v>-1</v>
      </c>
      <c r="H17" s="29">
        <v>-0.56694670951384096</v>
      </c>
    </row>
    <row r="18" spans="1:10" x14ac:dyDescent="0.25">
      <c r="A18" s="31">
        <v>7</v>
      </c>
      <c r="B18" s="31" t="s">
        <v>48</v>
      </c>
      <c r="C18" s="34" t="s">
        <v>58</v>
      </c>
      <c r="D18" s="34" t="s">
        <v>61</v>
      </c>
      <c r="E18" s="3">
        <v>5</v>
      </c>
      <c r="F18" s="3">
        <v>3</v>
      </c>
      <c r="G18" s="3">
        <v>-2</v>
      </c>
      <c r="H18" s="3">
        <v>6.0783067385482899E-2</v>
      </c>
    </row>
    <row r="19" spans="1:10" x14ac:dyDescent="0.25">
      <c r="A19" s="31">
        <v>7</v>
      </c>
      <c r="B19" s="31" t="s">
        <v>49</v>
      </c>
      <c r="C19" s="34" t="s">
        <v>60</v>
      </c>
      <c r="D19" s="34" t="s">
        <v>60</v>
      </c>
      <c r="E19" s="3">
        <v>5</v>
      </c>
      <c r="F19" s="3">
        <v>4</v>
      </c>
      <c r="G19" s="3">
        <v>-1</v>
      </c>
      <c r="H19" s="3">
        <v>1.27644441509514</v>
      </c>
    </row>
    <row r="20" spans="1:10" x14ac:dyDescent="0.25">
      <c r="A20" s="31">
        <v>7</v>
      </c>
      <c r="B20" s="31" t="s">
        <v>50</v>
      </c>
      <c r="C20" s="34" t="s">
        <v>58</v>
      </c>
      <c r="D20" s="34" t="s">
        <v>60</v>
      </c>
      <c r="E20" s="3">
        <v>5</v>
      </c>
      <c r="F20" s="3">
        <v>2.8</v>
      </c>
      <c r="G20" s="3">
        <v>-2.2000000000000002</v>
      </c>
      <c r="H20" s="3">
        <v>-0.18234920215645001</v>
      </c>
    </row>
    <row r="21" spans="1:10" x14ac:dyDescent="0.25">
      <c r="A21" s="31">
        <v>7</v>
      </c>
      <c r="B21" s="31" t="s">
        <v>51</v>
      </c>
      <c r="C21" s="34" t="s">
        <v>60</v>
      </c>
      <c r="D21" s="34" t="s">
        <v>60</v>
      </c>
      <c r="E21" s="3">
        <v>5</v>
      </c>
      <c r="F21" s="3">
        <v>2</v>
      </c>
      <c r="G21" s="3">
        <v>-3</v>
      </c>
      <c r="H21" s="3">
        <v>-1.1548782803241799</v>
      </c>
    </row>
    <row r="22" spans="1:10" x14ac:dyDescent="0.25">
      <c r="A22">
        <v>8</v>
      </c>
      <c r="B22" t="s">
        <v>48</v>
      </c>
      <c r="C22" s="33" t="s">
        <v>60</v>
      </c>
      <c r="D22" s="33" t="s">
        <v>60</v>
      </c>
      <c r="E22" s="2">
        <v>6</v>
      </c>
      <c r="F22" s="2">
        <v>3</v>
      </c>
      <c r="G22" s="2">
        <v>-3</v>
      </c>
      <c r="H22" s="2">
        <v>-0.38729833462074198</v>
      </c>
      <c r="I22" s="35"/>
      <c r="J22" s="36"/>
    </row>
    <row r="23" spans="1:10" x14ac:dyDescent="0.25">
      <c r="A23">
        <v>8</v>
      </c>
      <c r="B23" t="s">
        <v>49</v>
      </c>
      <c r="C23" s="33" t="s">
        <v>60</v>
      </c>
      <c r="D23" s="33" t="s">
        <v>60</v>
      </c>
      <c r="E23" s="2">
        <v>6</v>
      </c>
      <c r="F23" s="2">
        <v>5</v>
      </c>
      <c r="G23" s="2">
        <v>-1</v>
      </c>
      <c r="H23" s="2">
        <v>1.16189500386223</v>
      </c>
      <c r="I23" s="35"/>
      <c r="J23" s="36"/>
    </row>
    <row r="24" spans="1:10" x14ac:dyDescent="0.25">
      <c r="A24">
        <v>8</v>
      </c>
      <c r="B24" t="s">
        <v>50</v>
      </c>
      <c r="C24" s="33" t="s">
        <v>60</v>
      </c>
      <c r="D24" s="33" t="s">
        <v>60</v>
      </c>
      <c r="E24" s="2">
        <v>6</v>
      </c>
      <c r="F24" s="2">
        <v>4</v>
      </c>
      <c r="G24" s="2">
        <v>-2</v>
      </c>
      <c r="H24" s="2">
        <v>0.38729833462074198</v>
      </c>
      <c r="I24" s="35"/>
      <c r="J24" s="36"/>
    </row>
    <row r="25" spans="1:10" x14ac:dyDescent="0.25">
      <c r="A25">
        <v>8</v>
      </c>
      <c r="B25" t="s">
        <v>51</v>
      </c>
      <c r="C25" t="s">
        <v>61</v>
      </c>
      <c r="D25" t="s">
        <v>61</v>
      </c>
      <c r="E25" s="2">
        <v>6</v>
      </c>
      <c r="F25" s="2">
        <v>2</v>
      </c>
      <c r="G25" s="2">
        <v>-4</v>
      </c>
      <c r="H25" s="2">
        <v>-1.16189500386223</v>
      </c>
      <c r="I25" s="35"/>
      <c r="J25" s="36"/>
    </row>
    <row r="26" spans="1:10" x14ac:dyDescent="0.25">
      <c r="A26" s="31">
        <v>9</v>
      </c>
      <c r="B26" s="31" t="s">
        <v>48</v>
      </c>
      <c r="C26" s="34" t="s">
        <v>61</v>
      </c>
      <c r="D26" s="34" t="s">
        <v>61</v>
      </c>
      <c r="E26" s="3">
        <v>1.2</v>
      </c>
      <c r="F26" s="3">
        <v>2.5</v>
      </c>
      <c r="G26" s="3">
        <v>1.3</v>
      </c>
      <c r="H26" s="3">
        <v>0.86602540378443904</v>
      </c>
      <c r="I26" s="35"/>
      <c r="J26" s="36"/>
    </row>
    <row r="27" spans="1:10" x14ac:dyDescent="0.25">
      <c r="A27" s="31">
        <v>9</v>
      </c>
      <c r="B27" s="31" t="s">
        <v>49</v>
      </c>
      <c r="C27" s="34" t="s">
        <v>60</v>
      </c>
      <c r="D27" s="34" t="s">
        <v>60</v>
      </c>
      <c r="E27" s="3">
        <v>1.2</v>
      </c>
      <c r="F27" s="3">
        <v>2.5</v>
      </c>
      <c r="G27" s="3">
        <v>1.3</v>
      </c>
      <c r="H27" s="3">
        <v>0.86602540378443904</v>
      </c>
      <c r="I27" s="35"/>
      <c r="J27" s="36"/>
    </row>
    <row r="28" spans="1:10" x14ac:dyDescent="0.25">
      <c r="A28" s="31">
        <v>9</v>
      </c>
      <c r="B28" s="31" t="s">
        <v>50</v>
      </c>
      <c r="C28" s="34" t="s">
        <v>61</v>
      </c>
      <c r="D28" s="34" t="s">
        <v>61</v>
      </c>
      <c r="E28" s="3">
        <v>1.2</v>
      </c>
      <c r="F28" s="3">
        <v>1</v>
      </c>
      <c r="G28" s="3">
        <v>-0.2</v>
      </c>
      <c r="H28" s="3">
        <v>-0.86602540378443904</v>
      </c>
      <c r="I28" s="35"/>
      <c r="J28" s="36"/>
    </row>
    <row r="29" spans="1:10" x14ac:dyDescent="0.25">
      <c r="A29" s="31">
        <v>9</v>
      </c>
      <c r="B29" s="31" t="s">
        <v>51</v>
      </c>
      <c r="C29" s="34" t="s">
        <v>61</v>
      </c>
      <c r="D29" s="34" t="s">
        <v>61</v>
      </c>
      <c r="E29" s="3">
        <v>1.2</v>
      </c>
      <c r="F29" s="3">
        <v>1</v>
      </c>
      <c r="G29" s="3">
        <v>-0.2</v>
      </c>
      <c r="H29" s="3">
        <v>-0.86602540378443904</v>
      </c>
      <c r="I29" s="35"/>
      <c r="J29" s="36"/>
    </row>
    <row r="30" spans="1:10" x14ac:dyDescent="0.25">
      <c r="A30">
        <v>10</v>
      </c>
      <c r="B30" t="s">
        <v>48</v>
      </c>
      <c r="C30" t="s">
        <v>61</v>
      </c>
      <c r="D30" t="s">
        <v>61</v>
      </c>
      <c r="E30" s="2">
        <v>1.5</v>
      </c>
      <c r="F30" s="2">
        <v>1</v>
      </c>
      <c r="G30" s="2">
        <v>-0.5</v>
      </c>
      <c r="H30" s="2">
        <v>0.14638501094228001</v>
      </c>
      <c r="I30" s="35"/>
      <c r="J30" s="36"/>
    </row>
    <row r="31" spans="1:10" x14ac:dyDescent="0.25">
      <c r="A31">
        <v>10</v>
      </c>
      <c r="B31" t="s">
        <v>49</v>
      </c>
      <c r="C31" s="33" t="s">
        <v>60</v>
      </c>
      <c r="D31" s="33" t="s">
        <v>60</v>
      </c>
      <c r="E31" s="2">
        <v>1.5</v>
      </c>
      <c r="F31" s="2">
        <v>0.5</v>
      </c>
      <c r="G31" s="2">
        <v>-1</v>
      </c>
      <c r="H31" s="2">
        <v>-1.0246950765959599</v>
      </c>
      <c r="I31" s="35"/>
      <c r="J31" s="36"/>
    </row>
    <row r="32" spans="1:10" x14ac:dyDescent="0.25">
      <c r="A32">
        <v>10</v>
      </c>
      <c r="B32" t="s">
        <v>50</v>
      </c>
      <c r="C32" s="33" t="s">
        <v>60</v>
      </c>
      <c r="D32" s="33" t="s">
        <v>60</v>
      </c>
      <c r="E32" s="2">
        <v>1.5</v>
      </c>
      <c r="F32" s="2">
        <v>0.75</v>
      </c>
      <c r="G32" s="2">
        <v>-0.75</v>
      </c>
      <c r="H32" s="2">
        <v>-0.43915503282683999</v>
      </c>
      <c r="I32" s="35"/>
      <c r="J32" s="36"/>
    </row>
    <row r="33" spans="1:10" x14ac:dyDescent="0.25">
      <c r="A33">
        <v>10</v>
      </c>
      <c r="B33" t="s">
        <v>51</v>
      </c>
      <c r="C33" t="s">
        <v>58</v>
      </c>
      <c r="D33" t="s">
        <v>61</v>
      </c>
      <c r="E33" s="2">
        <v>1.5</v>
      </c>
      <c r="F33" s="2">
        <v>1.5</v>
      </c>
      <c r="G33" s="2">
        <v>0</v>
      </c>
      <c r="H33" s="2">
        <v>1.3174650984805201</v>
      </c>
      <c r="I33" s="35"/>
      <c r="J33" s="36"/>
    </row>
    <row r="34" spans="1:10" x14ac:dyDescent="0.25">
      <c r="A34" s="31">
        <v>11</v>
      </c>
      <c r="B34" s="31" t="s">
        <v>48</v>
      </c>
      <c r="C34" s="34" t="s">
        <v>60</v>
      </c>
      <c r="D34" s="34" t="s">
        <v>60</v>
      </c>
      <c r="E34" s="3">
        <v>1</v>
      </c>
      <c r="F34" s="3">
        <v>0.5</v>
      </c>
      <c r="G34" s="3">
        <v>-0.5</v>
      </c>
      <c r="H34" s="3"/>
      <c r="I34" s="35"/>
      <c r="J34" s="36"/>
    </row>
    <row r="35" spans="1:10" x14ac:dyDescent="0.25">
      <c r="A35" s="31">
        <v>11</v>
      </c>
      <c r="B35" s="31" t="s">
        <v>49</v>
      </c>
      <c r="C35" s="34" t="s">
        <v>61</v>
      </c>
      <c r="D35" s="34" t="s">
        <v>61</v>
      </c>
      <c r="E35" s="3">
        <v>1</v>
      </c>
      <c r="F35" s="3">
        <v>0.5</v>
      </c>
      <c r="G35" s="3">
        <v>-0.5</v>
      </c>
      <c r="H35" s="3"/>
      <c r="I35" s="35"/>
      <c r="J35" s="36"/>
    </row>
    <row r="36" spans="1:10" x14ac:dyDescent="0.25">
      <c r="A36" s="31">
        <v>11</v>
      </c>
      <c r="B36" s="31" t="s">
        <v>50</v>
      </c>
      <c r="C36" s="34" t="s">
        <v>61</v>
      </c>
      <c r="D36" s="34" t="s">
        <v>61</v>
      </c>
      <c r="E36" s="3">
        <v>1</v>
      </c>
      <c r="F36" s="3">
        <v>0.5</v>
      </c>
      <c r="G36" s="3">
        <v>-0.5</v>
      </c>
      <c r="H36" s="3"/>
      <c r="I36" s="35"/>
      <c r="J36" s="36"/>
    </row>
    <row r="37" spans="1:10" x14ac:dyDescent="0.25">
      <c r="A37" s="31">
        <v>11</v>
      </c>
      <c r="B37" s="31" t="s">
        <v>51</v>
      </c>
      <c r="C37" s="34" t="s">
        <v>60</v>
      </c>
      <c r="D37" s="34" t="s">
        <v>60</v>
      </c>
      <c r="E37" s="3">
        <v>1</v>
      </c>
      <c r="F37" s="3">
        <v>0.5</v>
      </c>
      <c r="G37" s="3">
        <v>-0.5</v>
      </c>
      <c r="H37" s="3"/>
      <c r="I37" s="35"/>
      <c r="J37" s="36"/>
    </row>
    <row r="38" spans="1:10" x14ac:dyDescent="0.25">
      <c r="A38">
        <v>12</v>
      </c>
      <c r="B38" t="s">
        <v>48</v>
      </c>
      <c r="C38" s="33" t="s">
        <v>61</v>
      </c>
      <c r="D38" s="33" t="s">
        <v>61</v>
      </c>
      <c r="E38" s="2">
        <v>5</v>
      </c>
      <c r="F38" s="2">
        <v>4</v>
      </c>
      <c r="G38" s="2">
        <v>-1</v>
      </c>
      <c r="H38" s="2">
        <v>1.0246950765959599</v>
      </c>
    </row>
    <row r="39" spans="1:10" x14ac:dyDescent="0.25">
      <c r="A39">
        <v>12</v>
      </c>
      <c r="B39" t="s">
        <v>49</v>
      </c>
      <c r="C39" t="s">
        <v>61</v>
      </c>
      <c r="D39" t="s">
        <v>61</v>
      </c>
      <c r="E39" s="2">
        <v>5</v>
      </c>
      <c r="F39" s="2">
        <v>3</v>
      </c>
      <c r="G39" s="2">
        <v>-2</v>
      </c>
      <c r="H39" s="2">
        <v>-0.14638501094228001</v>
      </c>
    </row>
    <row r="40" spans="1:10" x14ac:dyDescent="0.25">
      <c r="A40">
        <v>12</v>
      </c>
      <c r="B40" t="s">
        <v>50</v>
      </c>
      <c r="C40" s="33" t="s">
        <v>58</v>
      </c>
      <c r="D40" s="33" t="s">
        <v>61</v>
      </c>
      <c r="E40" s="2">
        <v>5</v>
      </c>
      <c r="F40" s="2">
        <v>2</v>
      </c>
      <c r="G40" s="2">
        <v>-3</v>
      </c>
      <c r="H40" s="2">
        <v>-1.3174650984805201</v>
      </c>
    </row>
    <row r="41" spans="1:10" x14ac:dyDescent="0.25">
      <c r="A41">
        <v>12</v>
      </c>
      <c r="B41" t="s">
        <v>51</v>
      </c>
      <c r="C41" s="33" t="s">
        <v>58</v>
      </c>
      <c r="D41" s="33" t="s">
        <v>61</v>
      </c>
      <c r="E41" s="2">
        <v>5</v>
      </c>
      <c r="F41" s="2">
        <v>3.5</v>
      </c>
      <c r="G41" s="2">
        <v>-1.5</v>
      </c>
      <c r="H41" s="2">
        <v>0.43915503282683999</v>
      </c>
    </row>
    <row r="42" spans="1:10" x14ac:dyDescent="0.25">
      <c r="A42" s="31">
        <v>13</v>
      </c>
      <c r="B42" s="31" t="s">
        <v>48</v>
      </c>
      <c r="C42" s="34" t="s">
        <v>60</v>
      </c>
      <c r="D42" s="34" t="s">
        <v>60</v>
      </c>
      <c r="E42" s="3">
        <v>4.5</v>
      </c>
      <c r="F42" s="3">
        <v>3</v>
      </c>
      <c r="G42" s="3">
        <v>-1.5</v>
      </c>
      <c r="H42" s="3">
        <v>0.5</v>
      </c>
    </row>
    <row r="43" spans="1:10" x14ac:dyDescent="0.25">
      <c r="A43" s="31">
        <v>13</v>
      </c>
      <c r="B43" s="31" t="s">
        <v>49</v>
      </c>
      <c r="C43" s="34" t="s">
        <v>60</v>
      </c>
      <c r="D43" s="34" t="s">
        <v>60</v>
      </c>
      <c r="E43" s="3">
        <v>4.5</v>
      </c>
      <c r="F43" s="3">
        <v>3</v>
      </c>
      <c r="G43" s="3">
        <v>-1.5</v>
      </c>
      <c r="H43" s="3">
        <v>0.5</v>
      </c>
    </row>
    <row r="44" spans="1:10" x14ac:dyDescent="0.25">
      <c r="A44" s="31">
        <v>13</v>
      </c>
      <c r="B44" s="31" t="s">
        <v>50</v>
      </c>
      <c r="C44" s="34" t="s">
        <v>61</v>
      </c>
      <c r="D44" s="34" t="s">
        <v>61</v>
      </c>
      <c r="E44" s="3">
        <v>4.5</v>
      </c>
      <c r="F44" s="3">
        <v>2</v>
      </c>
      <c r="G44" s="3">
        <v>-2.5</v>
      </c>
      <c r="H44" s="3">
        <v>-1.5</v>
      </c>
    </row>
    <row r="45" spans="1:10" x14ac:dyDescent="0.25">
      <c r="A45" s="31">
        <v>13</v>
      </c>
      <c r="B45" s="31" t="s">
        <v>51</v>
      </c>
      <c r="C45" s="34" t="s">
        <v>58</v>
      </c>
      <c r="D45" s="34" t="s">
        <v>61</v>
      </c>
      <c r="E45" s="3">
        <v>4.5</v>
      </c>
      <c r="F45" s="3">
        <v>3</v>
      </c>
      <c r="G45" s="3">
        <v>-1.5</v>
      </c>
      <c r="H45" s="3">
        <v>0.5</v>
      </c>
    </row>
    <row r="46" spans="1:10" x14ac:dyDescent="0.25">
      <c r="A46">
        <v>14</v>
      </c>
      <c r="B46" t="s">
        <v>48</v>
      </c>
      <c r="C46" t="s">
        <v>61</v>
      </c>
      <c r="D46" t="s">
        <v>61</v>
      </c>
      <c r="E46" s="2">
        <v>1.3</v>
      </c>
      <c r="F46" s="2">
        <v>1.3</v>
      </c>
      <c r="G46" s="2">
        <v>0</v>
      </c>
      <c r="H46" s="2">
        <v>1.16189500386223</v>
      </c>
    </row>
    <row r="47" spans="1:10" x14ac:dyDescent="0.25">
      <c r="A47">
        <v>14</v>
      </c>
      <c r="B47" t="s">
        <v>49</v>
      </c>
      <c r="C47" s="33" t="s">
        <v>60</v>
      </c>
      <c r="D47" s="33" t="s">
        <v>60</v>
      </c>
      <c r="E47" s="2">
        <v>1.3</v>
      </c>
      <c r="F47" s="2">
        <v>1</v>
      </c>
      <c r="G47" s="2">
        <v>-0.3</v>
      </c>
      <c r="H47" s="2">
        <v>0.38729833462074198</v>
      </c>
    </row>
    <row r="48" spans="1:10" x14ac:dyDescent="0.25">
      <c r="A48">
        <v>14</v>
      </c>
      <c r="B48" t="s">
        <v>50</v>
      </c>
      <c r="C48" s="33" t="s">
        <v>60</v>
      </c>
      <c r="D48" s="33" t="s">
        <v>60</v>
      </c>
      <c r="E48" s="2">
        <v>1.3</v>
      </c>
      <c r="F48" s="2">
        <v>0.7</v>
      </c>
      <c r="G48" s="2">
        <v>-0.6</v>
      </c>
      <c r="H48" s="2">
        <v>-0.38729833462074198</v>
      </c>
    </row>
    <row r="49" spans="1:8" x14ac:dyDescent="0.25">
      <c r="A49">
        <v>14</v>
      </c>
      <c r="B49" t="s">
        <v>51</v>
      </c>
      <c r="C49" s="33" t="s">
        <v>60</v>
      </c>
      <c r="D49" s="33" t="s">
        <v>60</v>
      </c>
      <c r="E49" s="2">
        <v>1.3</v>
      </c>
      <c r="F49" s="2">
        <v>0.4</v>
      </c>
      <c r="G49" s="2">
        <v>-0.9</v>
      </c>
      <c r="H49" s="2">
        <v>-1.16189500386222</v>
      </c>
    </row>
    <row r="50" spans="1:8" x14ac:dyDescent="0.25">
      <c r="A50" s="31">
        <v>15</v>
      </c>
      <c r="B50" s="31" t="s">
        <v>48</v>
      </c>
      <c r="C50" s="34" t="s">
        <v>60</v>
      </c>
      <c r="D50" s="34" t="s">
        <v>60</v>
      </c>
      <c r="E50" s="3">
        <v>1.3</v>
      </c>
      <c r="F50" s="3">
        <v>0.4</v>
      </c>
      <c r="G50" s="3">
        <v>-0.9</v>
      </c>
      <c r="H50" s="3">
        <v>-1.3174650984805201</v>
      </c>
    </row>
    <row r="51" spans="1:8" x14ac:dyDescent="0.25">
      <c r="A51" s="31">
        <v>15</v>
      </c>
      <c r="B51" s="31" t="s">
        <v>49</v>
      </c>
      <c r="C51" s="34" t="s">
        <v>61</v>
      </c>
      <c r="D51" s="34" t="s">
        <v>61</v>
      </c>
      <c r="E51" s="3">
        <v>1.3</v>
      </c>
      <c r="F51" s="3">
        <v>1.2</v>
      </c>
      <c r="G51" s="3">
        <v>-0.1</v>
      </c>
      <c r="H51" s="3">
        <v>1.0246950765959599</v>
      </c>
    </row>
    <row r="52" spans="1:8" x14ac:dyDescent="0.25">
      <c r="A52" s="31">
        <v>15</v>
      </c>
      <c r="B52" s="31" t="s">
        <v>50</v>
      </c>
      <c r="C52" s="34" t="s">
        <v>60</v>
      </c>
      <c r="D52" s="34" t="s">
        <v>60</v>
      </c>
      <c r="E52" s="3">
        <v>1.3</v>
      </c>
      <c r="F52" s="3">
        <v>1</v>
      </c>
      <c r="G52" s="3">
        <v>-0.3</v>
      </c>
      <c r="H52" s="3">
        <v>0.43915503282683999</v>
      </c>
    </row>
    <row r="53" spans="1:8" x14ac:dyDescent="0.25">
      <c r="A53" s="31">
        <v>15</v>
      </c>
      <c r="B53" s="31" t="s">
        <v>51</v>
      </c>
      <c r="C53" s="34" t="s">
        <v>61</v>
      </c>
      <c r="D53" s="34" t="s">
        <v>61</v>
      </c>
      <c r="E53" s="3">
        <v>1.3</v>
      </c>
      <c r="F53" s="3">
        <v>0.8</v>
      </c>
      <c r="G53" s="3">
        <v>-0.5</v>
      </c>
      <c r="H53" s="3">
        <v>-0.14638501094228001</v>
      </c>
    </row>
    <row r="54" spans="1:8" x14ac:dyDescent="0.25">
      <c r="A54">
        <v>16</v>
      </c>
      <c r="B54" t="s">
        <v>48</v>
      </c>
      <c r="C54" s="33" t="s">
        <v>60</v>
      </c>
      <c r="D54" s="33" t="s">
        <v>60</v>
      </c>
      <c r="E54" s="2">
        <v>4</v>
      </c>
      <c r="F54" s="2">
        <v>1.5</v>
      </c>
      <c r="G54" s="2">
        <v>-2.5</v>
      </c>
      <c r="H54" s="2">
        <v>0.17244037467885301</v>
      </c>
    </row>
    <row r="55" spans="1:8" x14ac:dyDescent="0.25">
      <c r="A55">
        <v>16</v>
      </c>
      <c r="B55" t="s">
        <v>49</v>
      </c>
      <c r="C55" s="33" t="s">
        <v>58</v>
      </c>
      <c r="D55" s="33" t="s">
        <v>60</v>
      </c>
      <c r="E55" s="2">
        <v>4</v>
      </c>
      <c r="F55" s="2">
        <v>2</v>
      </c>
      <c r="G55" s="2">
        <v>-2</v>
      </c>
      <c r="H55" s="2">
        <v>1.3220428725378699</v>
      </c>
    </row>
    <row r="56" spans="1:8" x14ac:dyDescent="0.25">
      <c r="A56">
        <v>16</v>
      </c>
      <c r="B56" t="s">
        <v>50</v>
      </c>
      <c r="C56" s="33" t="s">
        <v>60</v>
      </c>
      <c r="D56" s="33" t="s">
        <v>60</v>
      </c>
      <c r="E56" s="2">
        <v>4</v>
      </c>
      <c r="F56" s="2">
        <v>1.2</v>
      </c>
      <c r="G56" s="2">
        <v>-2.8</v>
      </c>
      <c r="H56" s="2">
        <v>-0.51732112403656005</v>
      </c>
    </row>
    <row r="57" spans="1:8" x14ac:dyDescent="0.25">
      <c r="A57">
        <v>16</v>
      </c>
      <c r="B57" t="s">
        <v>51</v>
      </c>
      <c r="C57" t="s">
        <v>61</v>
      </c>
      <c r="D57" t="s">
        <v>61</v>
      </c>
      <c r="E57" s="2">
        <v>4</v>
      </c>
      <c r="F57" s="2">
        <v>1</v>
      </c>
      <c r="G57" s="2">
        <v>-3</v>
      </c>
      <c r="H57" s="2">
        <v>-0.97716212318016804</v>
      </c>
    </row>
    <row r="58" spans="1:8" x14ac:dyDescent="0.25">
      <c r="A58" s="31">
        <v>17</v>
      </c>
      <c r="B58" s="31" t="s">
        <v>48</v>
      </c>
      <c r="C58" s="34" t="s">
        <v>61</v>
      </c>
      <c r="D58" s="34" t="s">
        <v>61</v>
      </c>
      <c r="E58" s="3">
        <v>4</v>
      </c>
      <c r="F58" s="3">
        <v>1</v>
      </c>
      <c r="G58" s="3">
        <v>-3</v>
      </c>
      <c r="H58" s="3">
        <v>1.5</v>
      </c>
    </row>
    <row r="59" spans="1:8" x14ac:dyDescent="0.25">
      <c r="A59" s="31">
        <v>17</v>
      </c>
      <c r="B59" s="31" t="s">
        <v>49</v>
      </c>
      <c r="C59" s="34" t="s">
        <v>60</v>
      </c>
      <c r="D59" s="34" t="s">
        <v>60</v>
      </c>
      <c r="E59" s="3">
        <v>4</v>
      </c>
      <c r="F59" s="3">
        <v>0</v>
      </c>
      <c r="G59" s="3">
        <v>-4</v>
      </c>
      <c r="H59" s="3">
        <v>-0.5</v>
      </c>
    </row>
    <row r="60" spans="1:8" x14ac:dyDescent="0.25">
      <c r="A60" s="31">
        <v>17</v>
      </c>
      <c r="B60" s="31" t="s">
        <v>50</v>
      </c>
      <c r="C60" s="34" t="s">
        <v>58</v>
      </c>
      <c r="D60" s="34" t="s">
        <v>60</v>
      </c>
      <c r="E60" s="3">
        <v>4</v>
      </c>
      <c r="F60" s="3">
        <v>0</v>
      </c>
      <c r="G60" s="3">
        <v>-4</v>
      </c>
      <c r="H60" s="3">
        <v>-0.5</v>
      </c>
    </row>
    <row r="61" spans="1:8" x14ac:dyDescent="0.25">
      <c r="A61" s="31">
        <v>17</v>
      </c>
      <c r="B61" s="31" t="s">
        <v>51</v>
      </c>
      <c r="C61" s="34" t="s">
        <v>58</v>
      </c>
      <c r="D61" s="34" t="s">
        <v>61</v>
      </c>
      <c r="E61" s="3">
        <v>4</v>
      </c>
      <c r="F61" s="3">
        <v>0</v>
      </c>
      <c r="G61" s="3">
        <v>-4</v>
      </c>
      <c r="H61" s="3">
        <v>-0.5</v>
      </c>
    </row>
    <row r="62" spans="1:8" x14ac:dyDescent="0.25">
      <c r="A62">
        <v>18</v>
      </c>
      <c r="B62" t="s">
        <v>48</v>
      </c>
      <c r="C62" s="33" t="s">
        <v>58</v>
      </c>
      <c r="D62" t="s">
        <v>61</v>
      </c>
      <c r="E62" s="2">
        <v>4</v>
      </c>
      <c r="F62" s="2">
        <v>3</v>
      </c>
      <c r="G62" s="2">
        <v>-1</v>
      </c>
      <c r="H62" s="2">
        <v>0.66033817974421805</v>
      </c>
    </row>
    <row r="63" spans="1:8" x14ac:dyDescent="0.25">
      <c r="A63">
        <v>18</v>
      </c>
      <c r="B63" t="s">
        <v>49</v>
      </c>
      <c r="C63" t="s">
        <v>61</v>
      </c>
      <c r="D63" t="s">
        <v>61</v>
      </c>
      <c r="E63" s="2">
        <v>4</v>
      </c>
      <c r="F63" s="2">
        <v>3</v>
      </c>
      <c r="G63" s="2">
        <v>-1</v>
      </c>
      <c r="H63" s="2">
        <v>0.66033817974421805</v>
      </c>
    </row>
    <row r="64" spans="1:8" x14ac:dyDescent="0.25">
      <c r="A64">
        <v>18</v>
      </c>
      <c r="B64" t="s">
        <v>50</v>
      </c>
      <c r="C64" s="33" t="s">
        <v>60</v>
      </c>
      <c r="D64" s="33" t="s">
        <v>60</v>
      </c>
      <c r="E64" s="2">
        <v>4</v>
      </c>
      <c r="F64" s="2">
        <v>2.75</v>
      </c>
      <c r="G64" s="2">
        <v>-1.25</v>
      </c>
      <c r="H64" s="2">
        <v>0.13206763594884399</v>
      </c>
    </row>
    <row r="65" spans="1:8" x14ac:dyDescent="0.25">
      <c r="A65">
        <v>18</v>
      </c>
      <c r="B65" t="s">
        <v>51</v>
      </c>
      <c r="C65" s="33" t="s">
        <v>60</v>
      </c>
      <c r="D65" s="33" t="s">
        <v>60</v>
      </c>
      <c r="E65" s="2">
        <v>4</v>
      </c>
      <c r="F65" s="2">
        <v>2</v>
      </c>
      <c r="G65" s="2">
        <v>-2</v>
      </c>
      <c r="H65" s="2">
        <v>-1.4527439954372801</v>
      </c>
    </row>
    <row r="66" spans="1:8" x14ac:dyDescent="0.25">
      <c r="E66"/>
      <c r="F66"/>
      <c r="G66"/>
      <c r="H66"/>
    </row>
    <row r="67" spans="1:8" x14ac:dyDescent="0.25">
      <c r="E67"/>
      <c r="F67"/>
      <c r="G67"/>
      <c r="H67"/>
    </row>
    <row r="68" spans="1:8" x14ac:dyDescent="0.25">
      <c r="E68"/>
      <c r="F68"/>
      <c r="G68"/>
      <c r="H68"/>
    </row>
    <row r="69" spans="1:8" x14ac:dyDescent="0.25">
      <c r="E69"/>
      <c r="F69"/>
      <c r="G69"/>
      <c r="H69"/>
    </row>
    <row r="70" spans="1:8" x14ac:dyDescent="0.25">
      <c r="E70"/>
      <c r="F70"/>
      <c r="G70"/>
      <c r="H70"/>
    </row>
    <row r="71" spans="1:8" x14ac:dyDescent="0.25">
      <c r="E71"/>
      <c r="F71"/>
      <c r="G71"/>
      <c r="H71"/>
    </row>
    <row r="72" spans="1:8" x14ac:dyDescent="0.25">
      <c r="E72"/>
      <c r="F72"/>
      <c r="G72"/>
      <c r="H72"/>
    </row>
    <row r="73" spans="1:8" x14ac:dyDescent="0.25">
      <c r="E73"/>
      <c r="F73"/>
      <c r="G73"/>
      <c r="H73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58ac463-e297-46bf-878d-ff811c52e420">
      <Terms xmlns="http://schemas.microsoft.com/office/infopath/2007/PartnerControls"/>
    </lcf76f155ced4ddcb4097134ff3c332f>
    <TaxCatchAll xmlns="a789318a-d59e-46ae-8526-eab55dd30d85" xsi:nil="true"/>
  </documentManagement>
</p:properties>
</file>

<file path=customXml/itemProps1.xml><?xml version="1.0" encoding="utf-8"?>
<ds:datastoreItem xmlns:ds="http://schemas.openxmlformats.org/officeDocument/2006/customXml" ds:itemID="{C6B9481C-8E97-4695-89A5-ABE1E082788C}">
  <ds:schemaRefs>
    <ds:schemaRef ds:uri="http://schemas.microsoft.com/office/2006/documentManagement/types"/>
    <ds:schemaRef ds:uri="http://purl.org/dc/elements/1.1/"/>
    <ds:schemaRef ds:uri="http://purl.org/dc/terms/"/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458ac463-e297-46bf-878d-ff811c52e420"/>
    <ds:schemaRef ds:uri="http://schemas.microsoft.com/office/2006/metadata/properties"/>
    <ds:schemaRef ds:uri="http://purl.org/dc/dcmitype/"/>
    <ds:schemaRef ds:uri="a789318a-d59e-46ae-8526-eab55dd30d8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427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VAS</vt:lpstr>
      <vt:lpstr>Presence</vt:lpstr>
      <vt:lpstr>Pain+Presence</vt:lpstr>
      <vt:lpstr>Calibrate</vt:lpstr>
      <vt:lpstr>Pain+Vibration</vt:lpstr>
      <vt:lpstr>Performance+Presence</vt:lpstr>
      <vt:lpstr>GhostDirection+Pain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Peter Hegelund Knudsen</cp:lastModifiedBy>
  <cp:revision>6</cp:revision>
  <dcterms:created xsi:type="dcterms:W3CDTF">2026-04-30T07:00:37Z</dcterms:created>
  <dcterms:modified xsi:type="dcterms:W3CDTF">2026-05-13T23:42:22Z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0x01010011D63E1EBBCBC44E92D02F9282D2F4AD</vt:lpwstr>
  </property>
</Properties>
</file>